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oot\Desktop\클로드\데이터시트_다운로더\클로드 코더\"/>
    </mc:Choice>
  </mc:AlternateContent>
  <xr:revisionPtr revIDLastSave="0" documentId="13_ncr:1_{2CD340F1-7865-4F3E-8091-DC60FAC7E578}" xr6:coauthVersionLast="47" xr6:coauthVersionMax="47" xr10:uidLastSave="{00000000-0000-0000-0000-000000000000}"/>
  <bookViews>
    <workbookView xWindow="4680" yWindow="1905" windowWidth="25605" windowHeight="15345" tabRatio="500" firstSheet="1" activeTab="3" xr2:uid="{00000000-000D-0000-FFFF-FFFF00000000}"/>
  </bookViews>
  <sheets>
    <sheet name="부품리스트" sheetId="1" r:id="rId1"/>
    <sheet name="217F 분석기준" sheetId="2" r:id="rId2"/>
    <sheet name="유효성 목록" sheetId="3" r:id="rId3"/>
    <sheet name="PSA 입력 파라미터" sheetId="4" r:id="rId4"/>
  </sheets>
  <externalReferences>
    <externalReference r:id="rId5"/>
    <externalReference r:id="rId6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_xlnm._FilterDatabase" localSheetId="3" hidden="1">'PSA 입력 파라미터'!$A$1:$AM$352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_xlnm.Print_Area" localSheetId="3">'PSA 입력 파라미터'!$B$1:$AC$256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2" l="1"/>
  <c r="AF6" i="2"/>
  <c r="AF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200-000001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E6" authorId="0" shapeId="0" xr:uid="{00000000-0006-0000-0200-000002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H6" authorId="0" shapeId="0" xr:uid="{00000000-0006-0000-0200-000003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AE6" authorId="0" shapeId="0" xr:uid="{00000000-0006-0000-0200-000004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AS6" authorId="0" shapeId="0" xr:uid="{00000000-0006-0000-0200-000005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AZ6" authorId="0" shapeId="0" xr:uid="{00000000-0006-0000-0200-000006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BQ6" authorId="0" shapeId="0" xr:uid="{00000000-0006-0000-0200-000007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FE6" authorId="0" shapeId="0" xr:uid="{00000000-0006-0000-0200-000008000000}">
      <text>
        <r>
          <rPr>
            <sz val="11"/>
            <color rgb="FF000000"/>
            <rFont val="맑은 고딕"/>
            <family val="3"/>
            <charset val="129"/>
          </rPr>
          <t>온도 기반 등급 -40~85℃(B-1), -55~125℃(B) 이(가) 이 서브카테고리에서 미허용 → 해당 온도구간은 Quality Level을 Commercial로 고정</t>
        </r>
      </text>
    </comment>
    <comment ref="JL6" authorId="0" shapeId="0" xr:uid="{00000000-0006-0000-0200-000009000000}">
      <text>
        <r>
          <rPr>
            <sz val="11"/>
            <color rgb="FF000000"/>
            <rFont val="맑은 고딕"/>
            <family val="3"/>
            <charset val="129"/>
          </rPr>
          <t>온도 기반 등급 -55~125℃(P) 이(가) 이 서브카테고리에서 미허용 → 해당 온도구간은 Quality Level을 Commercial로 고정</t>
        </r>
      </text>
    </comment>
    <comment ref="JV6" authorId="0" shapeId="0" xr:uid="{00000000-0006-0000-0200-00000A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E6" authorId="0" shapeId="0" xr:uid="{00000000-0006-0000-0200-00000B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G6" authorId="0" shapeId="0" xr:uid="{00000000-0006-0000-0200-00000C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M6" authorId="0" shapeId="0" xr:uid="{00000000-0006-0000-0200-00000D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O6" authorId="0" shapeId="0" xr:uid="{00000000-0006-0000-0200-00000E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Q6" authorId="0" shapeId="0" xr:uid="{00000000-0006-0000-0200-00000F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S6" authorId="0" shapeId="0" xr:uid="{00000000-0006-0000-0200-000010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U6" authorId="0" shapeId="0" xr:uid="{00000000-0006-0000-0200-000011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X6" authorId="0" shapeId="0" xr:uid="{00000000-0006-0000-0200-000012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</commentList>
</comments>
</file>

<file path=xl/sharedStrings.xml><?xml version="1.0" encoding="utf-8"?>
<sst xmlns="http://schemas.openxmlformats.org/spreadsheetml/2006/main" count="3270" uniqueCount="878">
  <si>
    <t>순번</t>
  </si>
  <si>
    <t>품명</t>
  </si>
  <si>
    <t>품번</t>
  </si>
  <si>
    <t>제조사</t>
  </si>
  <si>
    <t>상태</t>
  </si>
  <si>
    <t>데이터시트 다운로드 링크</t>
  </si>
  <si>
    <t>분석된 데이터시트 링크</t>
  </si>
  <si>
    <t>temp1</t>
  </si>
  <si>
    <t>이미 있음</t>
  </si>
  <si>
    <t>T495C107K010ATE100.pdf</t>
  </si>
  <si>
    <t>C:\Users\Root\Desktop\클로드\데이터시트_다운로더\클로드 코더\Download_ datasheets\Capacitor\Chassis Mount Elec Alum (CU CUR)\T495C107K010ATE100.pdf</t>
  </si>
  <si>
    <t>temp2</t>
  </si>
  <si>
    <t>CL21B473KBCNNNC.pdf</t>
  </si>
  <si>
    <t>C:\Users\Root\Desktop\클로드\데이터시트_다운로더\클로드 코더\Download_ datasheets\Capacitor\Air Trimmer Variable (CT)\CL21B473KBCNNNC.pdf</t>
  </si>
  <si>
    <t>temp3</t>
  </si>
  <si>
    <t>NXH50VB47M2.5TP6.3X11.pdf</t>
  </si>
  <si>
    <t>C:\Users\Root\Desktop\클로드\데이터시트_다운로더\클로드 코더\Download_ datasheets\NXH50VB47M2.5TP6.3X11.pdf</t>
  </si>
  <si>
    <t>temp4</t>
  </si>
  <si>
    <t>T322D106K035AT.pdf</t>
  </si>
  <si>
    <t>C:\Users\Root\Desktop\클로드\데이터시트_다운로더\클로드 코더\Download_ datasheets\Resistor\Lead Mount WW Power (RW RWR)\T322D106K035AT.pdf</t>
  </si>
  <si>
    <t>temp5</t>
  </si>
  <si>
    <t>BLM21PG121SN1D.pdf</t>
  </si>
  <si>
    <t>C:\Users\Root\Desktop\클로드\데이터시트_다운로더\클로드 코더\Download_ datasheets\Resistor\Chassis Mount WW Power (RE RER)\BLM21PG121SN1D.pdf</t>
  </si>
  <si>
    <t>temp6</t>
  </si>
  <si>
    <t>PAC6006.204NLT</t>
  </si>
  <si>
    <t>PAC6006.204NLT.pdf</t>
  </si>
  <si>
    <t>C:\Users\Root\Desktop\클로드\데이터시트_다운로더\클로드 코더\Download_ datasheets\Inductor\Coil\PAC6006.204NLT.pdf</t>
  </si>
  <si>
    <t>temp7</t>
  </si>
  <si>
    <t>실패</t>
  </si>
  <si>
    <t>https://www.datasheets.com/micron/mt25ql128abb1ese-0aut</t>
  </si>
  <si>
    <t>C:\Users\Root\Desktop\클로드\데이터시트_다운로더\클로드 코더\Download_ datasheets\MT25QL128ABB1ESE-0AUT.pdf</t>
  </si>
  <si>
    <t>temp8</t>
  </si>
  <si>
    <t>IS31FL3296-UTLS4-TR.pdf</t>
  </si>
  <si>
    <t>C:\Users\Root\Desktop\클로드\데이터시트_다운로더\클로드 코더\Download_ datasheets\Integrated Circuit\Microprocessor\IS31FL3296-UTLS4-TR.pdf</t>
  </si>
  <si>
    <t>temp9</t>
  </si>
  <si>
    <t>Sl53340-B-GM.pdf</t>
  </si>
  <si>
    <t>C:\Users\Root\Desktop\클로드\데이터시트_다운로더\클로드 코더\Download_ datasheets\Integrated Circuit\Logic CGA or ASIC\Sl53340-B-GM.pdf</t>
  </si>
  <si>
    <t>temp10</t>
  </si>
  <si>
    <t>MT41K128M16JT-125K.pdf</t>
  </si>
  <si>
    <t>C:\Users\Root\Desktop\클로드\데이터시트_다운로더\클로드 코더\Download_ datasheets\MT41K128M16JT-125K.pdf</t>
  </si>
  <si>
    <t>temp11</t>
  </si>
  <si>
    <t>STM32F107VCT6</t>
  </si>
  <si>
    <t>STM32F107VCT6.pdf</t>
  </si>
  <si>
    <t>C:\Users\Root\Desktop\클로드\데이터시트_다운로더\클로드 코더\Download_ datasheets\Integrated Circuit\Memory\STM32F107VCT6.pdf</t>
  </si>
  <si>
    <t>temp12</t>
  </si>
  <si>
    <t>DSC8123CI5.pdf</t>
  </si>
  <si>
    <t>C:\Users\Root\Desktop\클로드\데이터시트_다운로더\클로드 코더\Download_ datasheets\Resistor\Lead Mount WW Power (RW RWR)\DSC8123CI5.pdf</t>
  </si>
  <si>
    <t>temp13</t>
  </si>
  <si>
    <t>TLMS1100-GS15.pdf</t>
  </si>
  <si>
    <t>C:\Users\Root\Desktop\클로드\데이터시트_다운로더\클로드 코더\Download_ datasheets\Optical Device\Detector Isolator Emitter\TLMS1100-GS15.pdf</t>
  </si>
  <si>
    <t>temp14</t>
  </si>
  <si>
    <t>https://www.y-ic.com/pdf/Walsin Technology/WR06X121JTL.html</t>
  </si>
  <si>
    <t>C:\Users\Root\Desktop\클로드\데이터시트_다운로더\클로드 코더\Download_ datasheets\WR06X121JTL.pdf</t>
  </si>
  <si>
    <t>temp15</t>
  </si>
  <si>
    <t>WSL2010R1500FEA.pdf</t>
  </si>
  <si>
    <t>C:\Users\Root\Desktop\클로드\데이터시트_다운로더\클로드 코더\Download_ datasheets\Resistor\Lead Mount WW Power (RW RWR)\WSL2010R1500FEA.pdf</t>
  </si>
  <si>
    <t>temp16</t>
  </si>
  <si>
    <t>SMW3100RJT.pdf</t>
  </si>
  <si>
    <t>C:\Users\Root\Desktop\클로드\데이터시트_다운로더\클로드 코더\Download_ datasheets\Resistor\Chassis Mount WW Power (RE RER)\SMW3100RJT.pdf</t>
  </si>
  <si>
    <t>temp17</t>
  </si>
  <si>
    <t>NTCS0805E3103FHT.pdf</t>
  </si>
  <si>
    <t>C:\Users\Root\Desktop\클로드\데이터시트_다운로더\클로드 코더\Download_ datasheets\Miscellaneous\Ferrite Device Microwave\NTCS0805E3103FHT.pdf</t>
  </si>
  <si>
    <t>temp18</t>
  </si>
  <si>
    <t>TC33X-2-102E.pdf</t>
  </si>
  <si>
    <t>C:\Users\Root\Desktop\클로드\데이터시트_다운로더\클로드 코더\Download_ datasheets\Resistor\Chassis Mount WW Power (RE RER)\TC33X-2-102E.pdf</t>
  </si>
  <si>
    <t>temp19</t>
  </si>
  <si>
    <t>BZT52C8V2-7</t>
  </si>
  <si>
    <t>BZT52C8V2-7.pdf</t>
  </si>
  <si>
    <t>C:\Users\Root\Desktop\클로드\데이터시트_다운로더\클로드 코더\Download_ datasheets\Semiconductor\Diode\BZT52C8V2-7.pdf</t>
  </si>
  <si>
    <t>temp20</t>
  </si>
  <si>
    <t>AO3400A.pdf</t>
  </si>
  <si>
    <t>C:\Users\Root\Desktop\클로드\데이터시트_다운로더\클로드 코더\Download_ datasheets\Semiconductor\Diode\AO3400A.pdf</t>
  </si>
  <si>
    <t>temp21</t>
  </si>
  <si>
    <t>MCR12DSNT4G.pdf</t>
  </si>
  <si>
    <t>C:\Users\Root\Desktop\클로드\데이터시트_다운로더\클로드 코더\Download_ datasheets\Rotating Device\Motor\MCR12DSNT4G.pdf</t>
  </si>
  <si>
    <t>temp22</t>
  </si>
  <si>
    <t>2SB1260T100R.pdf</t>
  </si>
  <si>
    <t>C:\Users\Root\Desktop\클로드\데이터시트_다운로더\클로드 코더\Download_ datasheets\Optical Device\Detector Isolator Emitter\2SB1260T100R.pdf</t>
  </si>
  <si>
    <t>※ MIL-HDBK-338B</t>
  </si>
  <si>
    <t>운용 온도별 품질등급</t>
  </si>
  <si>
    <t>Junction- 이 Case일때, Thermal Resistance 값을 확인할 수 없을 경우</t>
  </si>
  <si>
    <t>제조사에서 MTBF를 제공시, 환경 변환팩터 적용</t>
  </si>
  <si>
    <t>제조사에서 MTBF를 제공시, 환경과 온도 변환팩터를 적용한 MTBF, 고장률 계산</t>
  </si>
  <si>
    <t>구분</t>
  </si>
  <si>
    <t>0℃ ~ 70℃</t>
  </si>
  <si>
    <t>-40℃ ~ 85℃</t>
  </si>
  <si>
    <t>-55℃ ~ 125℃</t>
  </si>
  <si>
    <t>No Data</t>
  </si>
  <si>
    <t>Category</t>
  </si>
  <si>
    <t>Package Type</t>
  </si>
  <si>
    <t>Thermal Resistance</t>
  </si>
  <si>
    <t>To Environment</t>
  </si>
  <si>
    <t>데이터시트 MTBF</t>
  </si>
  <si>
    <t>데이터시트 환경</t>
  </si>
  <si>
    <t>데이터시트 온도</t>
  </si>
  <si>
    <t>적용 환경</t>
  </si>
  <si>
    <t>적용 온도</t>
  </si>
  <si>
    <t>적용 MTBF</t>
  </si>
  <si>
    <t>비고</t>
  </si>
  <si>
    <t>Integrated Circuit</t>
  </si>
  <si>
    <t>Commercial</t>
  </si>
  <si>
    <t>B-1</t>
  </si>
  <si>
    <t>B</t>
  </si>
  <si>
    <t>Dual-In-Line</t>
  </si>
  <si>
    <t>GB</t>
  </si>
  <si>
    <t>GF</t>
  </si>
  <si>
    <t>GM</t>
  </si>
  <si>
    <t>NS</t>
  </si>
  <si>
    <t>NU</t>
  </si>
  <si>
    <t>AIC</t>
  </si>
  <si>
    <t>AIF</t>
  </si>
  <si>
    <t>AUC</t>
  </si>
  <si>
    <t>AUF</t>
  </si>
  <si>
    <t>ARW</t>
  </si>
  <si>
    <t>SF</t>
  </si>
  <si>
    <t>예시 1.</t>
  </si>
  <si>
    <t>온도 변환 시 해당 온도가 온도 변환 백터 표에 없는 경우 예시와 같이 반올림하여 적용한다.</t>
  </si>
  <si>
    <t>Semiconductor</t>
  </si>
  <si>
    <t>JAN</t>
  </si>
  <si>
    <t>JANTX</t>
  </si>
  <si>
    <t>Flat Package</t>
  </si>
  <si>
    <t>From Environment</t>
  </si>
  <si>
    <t>예시 2.</t>
  </si>
  <si>
    <t>온도 변환 시 해당 온도가 같다면 1을 곱한다.</t>
  </si>
  <si>
    <t>Resistor</t>
  </si>
  <si>
    <t>M</t>
  </si>
  <si>
    <t>P</t>
  </si>
  <si>
    <t>Chip Carrier</t>
  </si>
  <si>
    <t>예시 3.</t>
  </si>
  <si>
    <t>Capacitor</t>
  </si>
  <si>
    <t>L</t>
  </si>
  <si>
    <t>Pin Grid Array</t>
  </si>
  <si>
    <t>예시 1. 에 대한 주석 작성</t>
  </si>
  <si>
    <t>Inductor - Coil</t>
  </si>
  <si>
    <t>Mil-Spec</t>
  </si>
  <si>
    <t>Can</t>
  </si>
  <si>
    <t>GB, 25도 환경
MTBF : 850,000
GB, 40도 환경
MTBF : 850,000 * 1 * 0.9 = 765,000</t>
  </si>
  <si>
    <t>Inductor - Transformer</t>
  </si>
  <si>
    <t>TO-1</t>
  </si>
  <si>
    <t>Relay</t>
  </si>
  <si>
    <t>TO-3</t>
  </si>
  <si>
    <t>Connection</t>
  </si>
  <si>
    <t>TO-5</t>
  </si>
  <si>
    <t>Switching Device</t>
  </si>
  <si>
    <t>TO-8</t>
  </si>
  <si>
    <t>Optical Device</t>
  </si>
  <si>
    <t>TO-9</t>
  </si>
  <si>
    <t>Miscellaneous</t>
  </si>
  <si>
    <t>TO-12</t>
  </si>
  <si>
    <t>TO-18</t>
  </si>
  <si>
    <t>TO-28</t>
  </si>
  <si>
    <t>TO-33</t>
  </si>
  <si>
    <t>TO-39</t>
  </si>
  <si>
    <t>제조사에서 MTBF를 제공시, 온도 변환팩터 적용</t>
  </si>
  <si>
    <t>TO-41</t>
  </si>
  <si>
    <t>To Temperature</t>
  </si>
  <si>
    <t>TO-44</t>
  </si>
  <si>
    <t>TO-46</t>
  </si>
  <si>
    <t>From Temperature</t>
  </si>
  <si>
    <t>TO-52</t>
  </si>
  <si>
    <t>TO-53</t>
  </si>
  <si>
    <t>TO-57</t>
  </si>
  <si>
    <t>TO-59</t>
  </si>
  <si>
    <t>TO-60</t>
  </si>
  <si>
    <t>TO-61</t>
  </si>
  <si>
    <t>TO-63</t>
  </si>
  <si>
    <t>TO-66</t>
  </si>
  <si>
    <t>TO-71</t>
  </si>
  <si>
    <t>TO-72</t>
  </si>
  <si>
    <t>TO-83</t>
  </si>
  <si>
    <t>TO-89</t>
  </si>
  <si>
    <t>TO-92</t>
  </si>
  <si>
    <t>TO-94</t>
  </si>
  <si>
    <t>TO-99</t>
  </si>
  <si>
    <t>TO-126</t>
  </si>
  <si>
    <t>TO-127</t>
  </si>
  <si>
    <t>TO-204</t>
  </si>
  <si>
    <t>TO-204AA</t>
  </si>
  <si>
    <t>TO-205AD</t>
  </si>
  <si>
    <t>TO-205AF</t>
  </si>
  <si>
    <t>TO-220</t>
  </si>
  <si>
    <t>DO-4</t>
  </si>
  <si>
    <t>DO-5</t>
  </si>
  <si>
    <t>DO-7</t>
  </si>
  <si>
    <t>DO-8</t>
  </si>
  <si>
    <t>DO-9</t>
  </si>
  <si>
    <t>DO-13</t>
  </si>
  <si>
    <t>DO-14</t>
  </si>
  <si>
    <t>DO-29</t>
  </si>
  <si>
    <t>DO-35</t>
  </si>
  <si>
    <t>DO-41</t>
  </si>
  <si>
    <t>DO-45</t>
  </si>
  <si>
    <t>DO-204MB</t>
  </si>
  <si>
    <t>DO-205AB</t>
  </si>
  <si>
    <t>PA-42A,B</t>
  </si>
  <si>
    <t>PD-36C</t>
  </si>
  <si>
    <t>PD-50</t>
  </si>
  <si>
    <t>PD-77</t>
  </si>
  <si>
    <t>PD-180</t>
  </si>
  <si>
    <t>PD-319</t>
  </si>
  <si>
    <t>PD-262</t>
  </si>
  <si>
    <t>PD-975</t>
  </si>
  <si>
    <t>PD-280</t>
  </si>
  <si>
    <t>PD-216</t>
  </si>
  <si>
    <t>PT-2G</t>
  </si>
  <si>
    <t>PT-6B</t>
  </si>
  <si>
    <t>PH-13</t>
  </si>
  <si>
    <t>PH-16</t>
  </si>
  <si>
    <t>PH-56</t>
  </si>
  <si>
    <t>PY-58</t>
  </si>
  <si>
    <t>PY-373</t>
  </si>
  <si>
    <t>※ 노란색 칸: 온도 기반 품질등급이 이 서브카테고리에서 미허용 → Quality Level을 Commercial로 고정 (규칙2). 미허용 등급은 셀 코멘트 참조.</t>
  </si>
  <si>
    <t>ㅇ</t>
  </si>
  <si>
    <t>Inductor</t>
  </si>
  <si>
    <t>Rotating Device</t>
  </si>
  <si>
    <t>Air Trimmer, Variable (CT)</t>
  </si>
  <si>
    <t>Button Mica (CB)</t>
  </si>
  <si>
    <t>Ceramic, Variable (CV)</t>
  </si>
  <si>
    <t>Chassis Mount, Elec, Alum (CU, CUR)</t>
  </si>
  <si>
    <t>Chip, Ceramic (CDR)</t>
  </si>
  <si>
    <t>Chip, Elec (CWR)</t>
  </si>
  <si>
    <t>Feed Through, Paper (CZ, CZR)</t>
  </si>
  <si>
    <t>General Ceramic (CK, CKR)</t>
  </si>
  <si>
    <t>Glass (CY, CYR)</t>
  </si>
  <si>
    <t>Lead Mount, Elec, Alum (CE)</t>
  </si>
  <si>
    <t>Metallized Paper-Plastic (CH, CHR)</t>
  </si>
  <si>
    <t>Mica (CM, CMR)</t>
  </si>
  <si>
    <t>Nonsolid, Elec, Tant (CL, CLR, CRL)</t>
  </si>
  <si>
    <t>Paper (CA, CP)</t>
  </si>
  <si>
    <t>Paper-Plastic (CQ, CQR, CPV)</t>
  </si>
  <si>
    <t>Piston, Variable (PC)</t>
  </si>
  <si>
    <t>Plastic (CFR)</t>
  </si>
  <si>
    <t>Solid, Elec, Tant (CSR)</t>
  </si>
  <si>
    <t>Super Metallized Plastic (CRH)</t>
  </si>
  <si>
    <t>Temp Compensat, Ceramic (CC, CCR)</t>
  </si>
  <si>
    <t>Vacuum, Variable or Fixed (CG)</t>
  </si>
  <si>
    <t>Board with Plated Thru Holes</t>
  </si>
  <si>
    <t>General</t>
  </si>
  <si>
    <t>IC Socket</t>
  </si>
  <si>
    <t>Other Connection</t>
  </si>
  <si>
    <t>PCB Edge</t>
  </si>
  <si>
    <t>SMT Interconnect Assy</t>
  </si>
  <si>
    <t>Coil</t>
  </si>
  <si>
    <t>Transformer</t>
  </si>
  <si>
    <t>Bubble Memory</t>
  </si>
  <si>
    <t>EEPROM</t>
  </si>
  <si>
    <t>GaAs Digital</t>
  </si>
  <si>
    <t>GaAs MMIC</t>
  </si>
  <si>
    <t>Linear</t>
  </si>
  <si>
    <t>Logic, CGA or ASIC</t>
  </si>
  <si>
    <t>Memory</t>
  </si>
  <si>
    <t>Microprocessor</t>
  </si>
  <si>
    <t>PAL, PLA</t>
  </si>
  <si>
    <t>SAW - Surface Acoustic Wave</t>
  </si>
  <si>
    <t>VHSIC/VLSI CMOS</t>
  </si>
  <si>
    <t>Ferrite Device, Microwave</t>
  </si>
  <si>
    <t>Filter</t>
  </si>
  <si>
    <t>Incandescent Lamp</t>
  </si>
  <si>
    <t>Laser</t>
  </si>
  <si>
    <t>Load, Dummy or Microwave</t>
  </si>
  <si>
    <t>Meter</t>
  </si>
  <si>
    <t>Microwave Element</t>
  </si>
  <si>
    <t>Quartz Crystal</t>
  </si>
  <si>
    <t>Tube</t>
  </si>
  <si>
    <t>Vibrator</t>
  </si>
  <si>
    <t>Detector, Isolator, Emitter</t>
  </si>
  <si>
    <t>Fiber Optic Item</t>
  </si>
  <si>
    <t>Laser Diode</t>
  </si>
  <si>
    <t>Contactor</t>
  </si>
  <si>
    <t>Dry Circuit</t>
  </si>
  <si>
    <t>Electronic Time Delay, Non-Thermal</t>
  </si>
  <si>
    <t>General Purpose</t>
  </si>
  <si>
    <t>High Speed</t>
  </si>
  <si>
    <t>High Voltage</t>
  </si>
  <si>
    <t>Latching</t>
  </si>
  <si>
    <t>Medium Power</t>
  </si>
  <si>
    <t>Polarized</t>
  </si>
  <si>
    <t>Reed, Dual In Line</t>
  </si>
  <si>
    <t>Sensitive</t>
  </si>
  <si>
    <t>Solid State, Time Delay</t>
  </si>
  <si>
    <t>Thermal, Bimetal</t>
  </si>
  <si>
    <t>Accurate, WW (RB, RBR)</t>
  </si>
  <si>
    <t>Carbon, Var NonWW (RV)</t>
  </si>
  <si>
    <t>Chassis Mount, WW Power (RE, RER)</t>
  </si>
  <si>
    <t>Composition (RC, RCR)</t>
  </si>
  <si>
    <t>Film (RL, RLR, RN, RNR, RM)</t>
  </si>
  <si>
    <t>Film, Power (RD)</t>
  </si>
  <si>
    <t>Film, Var NonWW (RVC)</t>
  </si>
  <si>
    <t>Lead Mount, WW Power (RW, RWR)</t>
  </si>
  <si>
    <t>Lead Screw, Var WW (RT, RTR)</t>
  </si>
  <si>
    <t>Network Film (RZ)</t>
  </si>
  <si>
    <t>Power, Var WW (RP)</t>
  </si>
  <si>
    <t>Precision, Var NonWW (RQ)</t>
  </si>
  <si>
    <t>Precision, Var WW (RR)</t>
  </si>
  <si>
    <t>Semiprec, Var WW (RA, RK)</t>
  </si>
  <si>
    <t>Thermistor (RTH)</t>
  </si>
  <si>
    <t>Trimmer, Var NonWW (RJ, RJR)</t>
  </si>
  <si>
    <t>Motor</t>
  </si>
  <si>
    <t>Other</t>
  </si>
  <si>
    <t>Alphanumeric Display</t>
  </si>
  <si>
    <t>Diode</t>
  </si>
  <si>
    <t>GaAs FET</t>
  </si>
  <si>
    <t>Microwave Diode</t>
  </si>
  <si>
    <t>Microwave Power Transistor</t>
  </si>
  <si>
    <t>Microwave Transistor</t>
  </si>
  <si>
    <t>Si FET</t>
  </si>
  <si>
    <t>Thyristor</t>
  </si>
  <si>
    <t>Transistor</t>
  </si>
  <si>
    <t>Unijunction Transistor</t>
  </si>
  <si>
    <t>Basic Sensitive</t>
  </si>
  <si>
    <t>Circuit Breaker</t>
  </si>
  <si>
    <t>Rocker or Slide</t>
  </si>
  <si>
    <t>Rotary</t>
  </si>
  <si>
    <t>Thumbwheel</t>
  </si>
  <si>
    <t>Toggle or Pushbutton</t>
  </si>
  <si>
    <t>Quality Level</t>
  </si>
  <si>
    <t>Units</t>
  </si>
  <si>
    <t>Type</t>
  </si>
  <si>
    <t>Series Resistance</t>
  </si>
  <si>
    <t>Automatically Count Connections</t>
  </si>
  <si>
    <t>Pairing</t>
  </si>
  <si>
    <t>Connector Type</t>
  </si>
  <si>
    <t>Contact Gauge</t>
  </si>
  <si>
    <t># of Mating Cycles</t>
  </si>
  <si>
    <t>Equipment Type</t>
  </si>
  <si>
    <t>Board Substrate</t>
  </si>
  <si>
    <t>Package Substrate</t>
  </si>
  <si>
    <t>Lead Configuration</t>
  </si>
  <si>
    <t>Years in Production</t>
  </si>
  <si>
    <t>Error Correction</t>
  </si>
  <si>
    <t>Junction-</t>
  </si>
  <si>
    <t>Complexity</t>
  </si>
  <si>
    <t>Application</t>
  </si>
  <si>
    <t>Technology Type</t>
  </si>
  <si>
    <t>Word Size</t>
  </si>
  <si>
    <t>Manufacturing Process</t>
  </si>
  <si>
    <t>Seal</t>
  </si>
  <si>
    <t>Composition</t>
  </si>
  <si>
    <t>Utilization</t>
  </si>
  <si>
    <t>Cleanliness Level</t>
  </si>
  <si>
    <t>Cooling Media</t>
  </si>
  <si>
    <t>Function</t>
  </si>
  <si>
    <t>Construction Type</t>
  </si>
  <si>
    <t>Contact Form</t>
  </si>
  <si>
    <t>Max Rated Temp</t>
  </si>
  <si>
    <t>Load Type</t>
  </si>
  <si>
    <t>Size</t>
  </si>
  <si>
    <t>Number of Brushes</t>
  </si>
  <si>
    <t>Elapsed Time Meter Type</t>
  </si>
  <si>
    <t>Diode Type</t>
  </si>
  <si>
    <t>Two Sided</t>
  </si>
  <si>
    <t>Internal Matching</t>
  </si>
  <si>
    <t>Metallization</t>
  </si>
  <si>
    <t>F</t>
  </si>
  <si>
    <t>D</t>
  </si>
  <si>
    <t>CUR13, 15</t>
  </si>
  <si>
    <t>&gt;0.8</t>
  </si>
  <si>
    <t>CMR03</t>
  </si>
  <si>
    <t>CLR79, 81</t>
  </si>
  <si>
    <t>CPV (Mil-C-14157)</t>
  </si>
  <si>
    <t>PC38, 40, 42</t>
  </si>
  <si>
    <t>Discrete Wiring</t>
  </si>
  <si>
    <t>None</t>
  </si>
  <si>
    <t>Mated Pair</t>
  </si>
  <si>
    <t>Circular/Cylindrical</t>
  </si>
  <si>
    <t>0 to 0.05</t>
  </si>
  <si>
    <t>Automotive</t>
  </si>
  <si>
    <t>Alumina (Ceramic)</t>
  </si>
  <si>
    <t>Ceramic</t>
  </si>
  <si>
    <t>Gull Wing</t>
  </si>
  <si>
    <t>S</t>
  </si>
  <si>
    <t>Load</t>
  </si>
  <si>
    <t>Audio</t>
  </si>
  <si>
    <t>Nonseed Bubble Generator</t>
  </si>
  <si>
    <t>&gt;=2.0</t>
  </si>
  <si>
    <t>b</t>
  </si>
  <si>
    <t>Flotox</t>
  </si>
  <si>
    <t>Case</t>
  </si>
  <si>
    <t>1-1000</t>
  </si>
  <si>
    <t>1-100</t>
  </si>
  <si>
    <t>Driver and High Power</t>
  </si>
  <si>
    <t>ALSTTL</t>
  </si>
  <si>
    <t>DRAM</t>
  </si>
  <si>
    <t>Bipolar</t>
  </si>
  <si>
    <t>8 Bits</t>
  </si>
  <si>
    <t>Above Commercial</t>
  </si>
  <si>
    <t>Gate Array &amp; Memory</t>
  </si>
  <si>
    <t>Non QML/QPL</t>
  </si>
  <si>
    <t>Hermetic</t>
  </si>
  <si>
    <t>Hi Isolator/Circulator &gt;100W</t>
  </si>
  <si>
    <t>Ceramic Ferrite, MIL-F-15733</t>
  </si>
  <si>
    <t>AC</t>
  </si>
  <si>
    <t>&lt; 0.10</t>
  </si>
  <si>
    <t>Argon Ion</t>
  </si>
  <si>
    <t>Minimal w/Bellows</t>
  </si>
  <si>
    <t>Gas</t>
  </si>
  <si>
    <t>&lt; 100W</t>
  </si>
  <si>
    <t>Ammeter</t>
  </si>
  <si>
    <t>Attenuator</t>
  </si>
  <si>
    <t>2041, Pulsed Gridded</t>
  </si>
  <si>
    <t>60 Hertz</t>
  </si>
  <si>
    <t>JANTXV</t>
  </si>
  <si>
    <t>Dual Isolator Darlington</t>
  </si>
  <si>
    <t>Cable</t>
  </si>
  <si>
    <t>CW</t>
  </si>
  <si>
    <t>GaAs/AlGaAs</t>
  </si>
  <si>
    <t>Hermetic Package</t>
  </si>
  <si>
    <t>R</t>
  </si>
  <si>
    <t>Armature (short)</t>
  </si>
  <si>
    <t>SPST</t>
  </si>
  <si>
    <t>Inductive</t>
  </si>
  <si>
    <t>Armature (long)</t>
  </si>
  <si>
    <t>Armature (balanced and short)</t>
  </si>
  <si>
    <t>Ceramic, Vacuum</t>
  </si>
  <si>
    <t>Balanced armature</t>
  </si>
  <si>
    <t>Armature (long and short)</t>
  </si>
  <si>
    <t>Dry reed</t>
  </si>
  <si>
    <t>Hybrid</t>
  </si>
  <si>
    <t>Chip (RM)</t>
  </si>
  <si>
    <t>RA</t>
  </si>
  <si>
    <t>Electrical (General)</t>
  </si>
  <si>
    <t>Elapsed Time Meter</t>
  </si>
  <si>
    <t>8 or smaller</t>
  </si>
  <si>
    <t>With Logic Chip</t>
  </si>
  <si>
    <t>Diode Array Display</t>
  </si>
  <si>
    <t>Current Regulator</t>
  </si>
  <si>
    <t>Metallurgically</t>
  </si>
  <si>
    <t>Both Input and Output</t>
  </si>
  <si>
    <t>Gunn, Bulk Effect</t>
  </si>
  <si>
    <t>Aluminum</t>
  </si>
  <si>
    <t>High Frequency</t>
  </si>
  <si>
    <t>JFET</t>
  </si>
  <si>
    <t>Magnetic</t>
  </si>
  <si>
    <t>Power On/Off</t>
  </si>
  <si>
    <t>3PST</t>
  </si>
  <si>
    <t>Centrifugal</t>
  </si>
  <si>
    <t>uF</t>
  </si>
  <si>
    <t>C, T</t>
  </si>
  <si>
    <t>CUR71</t>
  </si>
  <si>
    <t>&gt;0.6 to 0.8</t>
  </si>
  <si>
    <t>CQR29, 32, 33 (Mil-C-19978)</t>
  </si>
  <si>
    <t>Printed Wiring</t>
  </si>
  <si>
    <t># of Wave Soldered PTHs</t>
  </si>
  <si>
    <t>Single Connector</t>
  </si>
  <si>
    <t>Hexagonal</t>
  </si>
  <si>
    <t>&gt;0.05 to 0.5</t>
  </si>
  <si>
    <t>Dual-in-Line Package</t>
  </si>
  <si>
    <t># Hand Soldered</t>
  </si>
  <si>
    <t>Commercial Aircraft</t>
  </si>
  <si>
    <t>Carbon-Fiber/Epoxy Composite</t>
  </si>
  <si>
    <t>Plastic</t>
  </si>
  <si>
    <t>J or S Lead</t>
  </si>
  <si>
    <t>Power Filter</t>
  </si>
  <si>
    <t>Flyback</t>
  </si>
  <si>
    <t>Seed Bubble Generator</t>
  </si>
  <si>
    <t>Kb</t>
  </si>
  <si>
    <t>Textured-Poly</t>
  </si>
  <si>
    <t>Hamming Code</t>
  </si>
  <si>
    <t>DIP, Glass Seal</t>
  </si>
  <si>
    <t>Ambient</t>
  </si>
  <si>
    <t>1001-10000</t>
  </si>
  <si>
    <t>101-1000</t>
  </si>
  <si>
    <t>Low Noise and Low Power</t>
  </si>
  <si>
    <t>ASTTL</t>
  </si>
  <si>
    <t>EAPROM</t>
  </si>
  <si>
    <t>CMOS</t>
  </si>
  <si>
    <t>16 Bits</t>
  </si>
  <si>
    <t>Logic &amp; Custom</t>
  </si>
  <si>
    <t>QML/QPL</t>
  </si>
  <si>
    <t>Non-Hermetic</t>
  </si>
  <si>
    <t>DIP</t>
  </si>
  <si>
    <t>Lo Isolator/Circulator &lt;=100W</t>
  </si>
  <si>
    <t>Composition 1, MIL-F-18327</t>
  </si>
  <si>
    <t>DC</t>
  </si>
  <si>
    <t>0.10 to 0.90</t>
  </si>
  <si>
    <t>Flowing CO2</t>
  </si>
  <si>
    <t>Minimal w/o Bellows</t>
  </si>
  <si>
    <t>Liquid</t>
  </si>
  <si>
    <t>100 to 1000W</t>
  </si>
  <si>
    <t>Voltmeter</t>
  </si>
  <si>
    <t>Fixed</t>
  </si>
  <si>
    <t>3K210000LQ, Klystron, CW</t>
  </si>
  <si>
    <t>120 Hertz</t>
  </si>
  <si>
    <t>Dual Isolator Diode</t>
  </si>
  <si>
    <t>Connector</t>
  </si>
  <si>
    <t>Pulsed</t>
  </si>
  <si>
    <t>InGaAs/InGaAsP</t>
  </si>
  <si>
    <t>Nonhermetic w/Facet Coating</t>
  </si>
  <si>
    <t>DPST</t>
  </si>
  <si>
    <t>Lamp</t>
  </si>
  <si>
    <t>Glass, Vacuum</t>
  </si>
  <si>
    <t>Meter movement</t>
  </si>
  <si>
    <t>Mercury wetted</t>
  </si>
  <si>
    <t>Solid State</t>
  </si>
  <si>
    <t>High Stability (RN, RNR)</t>
  </si>
  <si>
    <t>RK</t>
  </si>
  <si>
    <t>Sensor</t>
  </si>
  <si>
    <t>Resolver</t>
  </si>
  <si>
    <t>10 to 16</t>
  </si>
  <si>
    <t>DC Commutator</t>
  </si>
  <si>
    <t>Without Logic Chip</t>
  </si>
  <si>
    <t>Segment Display</t>
  </si>
  <si>
    <t>Non-Metallurgically/Spring Loaded</t>
  </si>
  <si>
    <t>Low Power or Pulsed</t>
  </si>
  <si>
    <t>Input Only or Output Only</t>
  </si>
  <si>
    <t>PIN</t>
  </si>
  <si>
    <t>Gold</t>
  </si>
  <si>
    <t>MOSFET</t>
  </si>
  <si>
    <t>Switching</t>
  </si>
  <si>
    <t>Thermal</t>
  </si>
  <si>
    <t>Protection Only</t>
  </si>
  <si>
    <t>4PST</t>
  </si>
  <si>
    <t>Dual-In-Line Package</t>
  </si>
  <si>
    <t>nF</t>
  </si>
  <si>
    <t>S, B</t>
  </si>
  <si>
    <t>&gt;0.4 to 0.6</t>
  </si>
  <si>
    <t>Other CQ, CQR (Mil-C-19978)</t>
  </si>
  <si>
    <t># of Hand Soldered PTHs</t>
  </si>
  <si>
    <t>Power</t>
  </si>
  <si>
    <t>&gt;0.5 to 5</t>
  </si>
  <si>
    <t>Electron Tube, CRT</t>
  </si>
  <si>
    <t># Crimped</t>
  </si>
  <si>
    <t>Computer</t>
  </si>
  <si>
    <t>Ceramic Clad Invar</t>
  </si>
  <si>
    <t>Leadless</t>
  </si>
  <si>
    <t>RF, Fixed or Molded</t>
  </si>
  <si>
    <t>Power, Filter Choke</t>
  </si>
  <si>
    <t>Mb</t>
  </si>
  <si>
    <t>Redundant Cell</t>
  </si>
  <si>
    <t>Flatpack</t>
  </si>
  <si>
    <t>Unknown</t>
  </si>
  <si>
    <t>BiCMOS</t>
  </si>
  <si>
    <t>PROM, EPROM</t>
  </si>
  <si>
    <t>NMOS</t>
  </si>
  <si>
    <t>32 Bits</t>
  </si>
  <si>
    <t>Phase Shifter</t>
  </si>
  <si>
    <t>Composition 2, MIL-F-18327</t>
  </si>
  <si>
    <t>&gt; 0.90</t>
  </si>
  <si>
    <t>Helium/Cadmium</t>
  </si>
  <si>
    <t>Rigorous w/Bellows</t>
  </si>
  <si>
    <t>&gt; 1000W</t>
  </si>
  <si>
    <t>Variable</t>
  </si>
  <si>
    <t>400 Hertz</t>
  </si>
  <si>
    <t>Dual Isolator Resistor</t>
  </si>
  <si>
    <t>Nonhermetic w/o Facet Coating</t>
  </si>
  <si>
    <t>X</t>
  </si>
  <si>
    <t>Mechanical latching</t>
  </si>
  <si>
    <t>SPDT</t>
  </si>
  <si>
    <t>Resistive</t>
  </si>
  <si>
    <t>Dry Reed</t>
  </si>
  <si>
    <t>Solenoid</t>
  </si>
  <si>
    <t>Magnetic latching</t>
  </si>
  <si>
    <t>Time Delay</t>
  </si>
  <si>
    <t>Insulated (RL, RLR)</t>
  </si>
  <si>
    <t>Servo</t>
  </si>
  <si>
    <t>Synchro</t>
  </si>
  <si>
    <t>18 or larger</t>
  </si>
  <si>
    <t>Inverter Driven</t>
  </si>
  <si>
    <t>Rectifier, Fast Recovery</t>
  </si>
  <si>
    <t>No Matching</t>
  </si>
  <si>
    <t>Schottky Barrier</t>
  </si>
  <si>
    <t>Thermal-Magnetic</t>
  </si>
  <si>
    <t>Limit</t>
  </si>
  <si>
    <t>pF</t>
  </si>
  <si>
    <t>&gt;0.2 to 0.4</t>
  </si>
  <si>
    <t>RF Coaxial</t>
  </si>
  <si>
    <t>&gt;5 to 50</t>
  </si>
  <si>
    <t># Welded</t>
  </si>
  <si>
    <t>Consumer (TV, radio, etc)</t>
  </si>
  <si>
    <t>Ceramic Multilayer</t>
  </si>
  <si>
    <t>RF, Variable</t>
  </si>
  <si>
    <t>Pulse, High Power</t>
  </si>
  <si>
    <t>Gb</t>
  </si>
  <si>
    <t>Hermetic: DIPs, PGA, SMT</t>
  </si>
  <si>
    <t>CML</t>
  </si>
  <si>
    <t>ROM</t>
  </si>
  <si>
    <t>Discrete LC, MIL-F-15733</t>
  </si>
  <si>
    <t>Helium/Neon</t>
  </si>
  <si>
    <t>3K50000LF, Klystron, CW</t>
  </si>
  <si>
    <t>Dual Isolator Transistor</t>
  </si>
  <si>
    <t>U</t>
  </si>
  <si>
    <t>Stepper</t>
  </si>
  <si>
    <t>Rectifier, High Volt. Stacks</t>
  </si>
  <si>
    <t>Si IMPATT</t>
  </si>
  <si>
    <t>Liquid Level</t>
  </si>
  <si>
    <t>&gt;0.1 to 0.2</t>
  </si>
  <si>
    <t>Rack and Panel</t>
  </si>
  <si>
    <t>&gt;50</t>
  </si>
  <si>
    <t># Solderless Wrapped</t>
  </si>
  <si>
    <t>Industrial</t>
  </si>
  <si>
    <t>Copper Clad Molybdenum</t>
  </si>
  <si>
    <t>Pulse, Low Power</t>
  </si>
  <si>
    <t>&lt;=0.1</t>
  </si>
  <si>
    <t>Nonhermetic: DIPs, PGA, SMT</t>
  </si>
  <si>
    <t>DTL</t>
  </si>
  <si>
    <t>SRAM</t>
  </si>
  <si>
    <t>Nd:YAG Rod, Krypton</t>
  </si>
  <si>
    <t>3KM3000LA, Klystron, CW</t>
  </si>
  <si>
    <t>LED, Infrared</t>
  </si>
  <si>
    <t>Rectifier, Schottky</t>
  </si>
  <si>
    <t>Step Recovery</t>
  </si>
  <si>
    <t>Microwave</t>
  </si>
  <si>
    <t>0 to 0.1</t>
  </si>
  <si>
    <t>Rectangular</t>
  </si>
  <si>
    <t>Single-in-Line Package</t>
  </si>
  <si>
    <t># Wrapped and Soldered</t>
  </si>
  <si>
    <t>Military Aircraft (Cargo)</t>
  </si>
  <si>
    <t>Epoxy Aramid Fiber</t>
  </si>
  <si>
    <t>RF, High Voltage</t>
  </si>
  <si>
    <t>ECL</t>
  </si>
  <si>
    <t>UVEPROM</t>
  </si>
  <si>
    <t>Nd:YAG Rod, Xenon</t>
  </si>
  <si>
    <t>3KM300LA, Klystron, CW</t>
  </si>
  <si>
    <t>LED, Standard</t>
  </si>
  <si>
    <t>DPDT</t>
  </si>
  <si>
    <t>Tunnel, Back</t>
  </si>
  <si>
    <t>Pressure</t>
  </si>
  <si>
    <t>Telephone</t>
  </si>
  <si>
    <t># Clip Termination</t>
  </si>
  <si>
    <t>Military Aircraft (Fighter)</t>
  </si>
  <si>
    <t>Epoxy-Quartz</t>
  </si>
  <si>
    <t>FTTL</t>
  </si>
  <si>
    <t>Ruby Rod, Krypton</t>
  </si>
  <si>
    <t>3KM50000PA, Klystron, CW</t>
  </si>
  <si>
    <t>Photodiode</t>
  </si>
  <si>
    <t>3PDT</t>
  </si>
  <si>
    <t>Transient Suppressor</t>
  </si>
  <si>
    <t>Varactor, Multiplier</t>
  </si>
  <si>
    <t>Reed</t>
  </si>
  <si>
    <t>Triaxial</t>
  </si>
  <si>
    <t># Reflow Soldered</t>
  </si>
  <si>
    <t>Military Ground Applications</t>
  </si>
  <si>
    <t>Epoxy/Glass Laminate</t>
  </si>
  <si>
    <t>HTTL, HTL</t>
  </si>
  <si>
    <t>Ruby Rod, Xenon</t>
  </si>
  <si>
    <t>3KM50000PA1, Klystron, CW</t>
  </si>
  <si>
    <t>Phototransistor</t>
  </si>
  <si>
    <t>4PDT</t>
  </si>
  <si>
    <t>Voltage Regulator, Ref, Zener</t>
  </si>
  <si>
    <t>Varactor, Voltage Control</t>
  </si>
  <si>
    <t># Spring Contact</t>
  </si>
  <si>
    <t>Telecommunications</t>
  </si>
  <si>
    <t>Epoxy/Kevlar Laminate</t>
  </si>
  <si>
    <t>IIIL</t>
  </si>
  <si>
    <t>Sealed CO2</t>
  </si>
  <si>
    <t>3KM50000PA2, Klystron, CW</t>
  </si>
  <si>
    <t>Single Isolator Darlington</t>
  </si>
  <si>
    <t>6PDT</t>
  </si>
  <si>
    <t># Terminal Block</t>
  </si>
  <si>
    <t>FR-4 Laminate</t>
  </si>
  <si>
    <t>IIL, MNOS</t>
  </si>
  <si>
    <t>4K3CC, Klystron, CW</t>
  </si>
  <si>
    <t>Single Isolator Diode</t>
  </si>
  <si>
    <t>FR-4 Multi w/Copper Clad Invar</t>
  </si>
  <si>
    <t>ISL</t>
  </si>
  <si>
    <t>4K3SK, Klystron, CW</t>
  </si>
  <si>
    <t>Single Isolator Resistor</t>
  </si>
  <si>
    <t>FR-4 Multilayer</t>
  </si>
  <si>
    <t>LSTTL</t>
  </si>
  <si>
    <t>4K50000LQ, Klystron, CW</t>
  </si>
  <si>
    <t>Single Isolator Transistor</t>
  </si>
  <si>
    <t>Fiberglass Ceramic Fiber</t>
  </si>
  <si>
    <t>LTTL</t>
  </si>
  <si>
    <t>4KM170000LA, Klystron, CW</t>
  </si>
  <si>
    <t>Fiberglass Teflon Laminates</t>
  </si>
  <si>
    <t>MOS</t>
  </si>
  <si>
    <t>4KM3000LR, Klystron, CW</t>
  </si>
  <si>
    <t>Glass Fiber</t>
  </si>
  <si>
    <t>STTL</t>
  </si>
  <si>
    <t>4KM50000LQ, Klystron, CW</t>
  </si>
  <si>
    <t>Kevlar Fiber</t>
  </si>
  <si>
    <t>TTL</t>
  </si>
  <si>
    <t>4KM50000LR, Klystron, CW</t>
  </si>
  <si>
    <t>Polyamide Aramid Fiber</t>
  </si>
  <si>
    <t>4KM50LB, Klystron, CW</t>
  </si>
  <si>
    <t>Polyamide/Glass Laminate</t>
  </si>
  <si>
    <t>4KM50LC, Klystron, CW</t>
  </si>
  <si>
    <t>Polyamide/Kevlar Laminate</t>
  </si>
  <si>
    <t>4KM50SJ, Klystron, CW</t>
  </si>
  <si>
    <t>Polyamide/Quartz Laminate</t>
  </si>
  <si>
    <t>4KM50SK, Klystron, CW</t>
  </si>
  <si>
    <t>Porcelain Copper Clad Invar</t>
  </si>
  <si>
    <t>4KMP10000LF, Klystron, Pulsed</t>
  </si>
  <si>
    <t>Quartz Fiber</t>
  </si>
  <si>
    <t>6952, Pulsed Gridded</t>
  </si>
  <si>
    <t>7835, Pulsed Gridded</t>
  </si>
  <si>
    <t>8568, Klystron, Pulsed</t>
  </si>
  <si>
    <t>8824, Klystron, CW</t>
  </si>
  <si>
    <t>8825, Klystron, CW</t>
  </si>
  <si>
    <t>8826, Klystron, CW</t>
  </si>
  <si>
    <t>Antimony Trisulfide, Vidicon</t>
  </si>
  <si>
    <t>CRT</t>
  </si>
  <si>
    <t>CW, Magnetron</t>
  </si>
  <si>
    <t>Coaxial Pulsed Magnetron</t>
  </si>
  <si>
    <t>Conventional Pulsed, Magnetron</t>
  </si>
  <si>
    <t>Klystron, Low Power</t>
  </si>
  <si>
    <t>L3035, Klystron, Pulsed</t>
  </si>
  <si>
    <t>L3250, Klystron, Pulsed</t>
  </si>
  <si>
    <t>L3403, Klystron, Pulsed</t>
  </si>
  <si>
    <t>Other, Klystron, CW</t>
  </si>
  <si>
    <t>Other, Klystron, Pulsed</t>
  </si>
  <si>
    <t>Power Rectifier, Receiver</t>
  </si>
  <si>
    <t>QK681, Crossed Field Amplifier</t>
  </si>
  <si>
    <t>SAC42A, Klystron, Pulsed</t>
  </si>
  <si>
    <t>SFD261, Crossed Field Amplifier</t>
  </si>
  <si>
    <t>Silicon Diode Array, Vidicon</t>
  </si>
  <si>
    <t>Tetrode, Pentode, Transmitting</t>
  </si>
  <si>
    <t>Thyratron</t>
  </si>
  <si>
    <t>Transmitting, Over Pwr/Freq Limit</t>
  </si>
  <si>
    <t>Traveling Wave</t>
  </si>
  <si>
    <t>Triode, Tetrode, Pentode, Receiver</t>
  </si>
  <si>
    <t>Triode, Transmitting</t>
  </si>
  <si>
    <t>VA144, Twystron</t>
  </si>
  <si>
    <t>VA145E, Twystron</t>
  </si>
  <si>
    <t>VA145H, Twystron</t>
  </si>
  <si>
    <t>VA800E, Klystron, CW</t>
  </si>
  <si>
    <t>VA842, Klystron, Pulsed</t>
  </si>
  <si>
    <t>VA853, Klystron, CW</t>
  </si>
  <si>
    <t>VA856B, Klystron, CW</t>
  </si>
  <si>
    <t>VA888E, Klystron, CW</t>
  </si>
  <si>
    <t>VA913A, Twystron</t>
  </si>
  <si>
    <t>Z5010A, Klystron, Pulsed</t>
  </si>
  <si>
    <t>ZM3038A, Klystron, Pulsed</t>
  </si>
  <si>
    <t>범례</t>
  </si>
  <si>
    <t>PSA 입력 파라미터</t>
  </si>
  <si>
    <t xml:space="preserve">   -Windchill 프로그램에서 자동으로 계산되는 항목 : </t>
  </si>
  <si>
    <t>NPRD / EPRD 입력 파라미터</t>
  </si>
  <si>
    <t xml:space="preserve">   - Windchill 프로그램에서 제시한 Default 값 적용 :</t>
  </si>
  <si>
    <t xml:space="preserve">   - 설계자 검토확인 및 제시값 적용 : </t>
  </si>
  <si>
    <t xml:space="preserve">   - 관련자료(Datasheet) 등 제시 및 분석결과값 적용 :</t>
  </si>
  <si>
    <t>상위 LCN</t>
  </si>
  <si>
    <t>상위품목</t>
  </si>
  <si>
    <t>LCN</t>
  </si>
  <si>
    <t>PartNumber</t>
  </si>
  <si>
    <t>Classification</t>
  </si>
  <si>
    <t>SD25</t>
  </si>
  <si>
    <t>SD26</t>
  </si>
  <si>
    <t>SD27</t>
  </si>
  <si>
    <t>SD28</t>
  </si>
  <si>
    <t>SD29</t>
  </si>
  <si>
    <t>SD210</t>
  </si>
  <si>
    <t>SD211</t>
  </si>
  <si>
    <t>SD212</t>
  </si>
  <si>
    <t>SD213</t>
  </si>
  <si>
    <t>SD214</t>
  </si>
  <si>
    <t>SD215</t>
  </si>
  <si>
    <t>SD216</t>
  </si>
  <si>
    <t>SD217</t>
  </si>
  <si>
    <t>SD218</t>
  </si>
  <si>
    <t>SD219</t>
  </si>
  <si>
    <t>SD220</t>
  </si>
  <si>
    <t>SD221</t>
  </si>
  <si>
    <t>SD222</t>
  </si>
  <si>
    <t>SD223</t>
  </si>
  <si>
    <t>SD224</t>
  </si>
  <si>
    <t>SD225</t>
  </si>
  <si>
    <t>SD226</t>
  </si>
  <si>
    <t>SD227</t>
  </si>
  <si>
    <t>SD228</t>
  </si>
  <si>
    <t>SD229</t>
  </si>
  <si>
    <t>SD230</t>
  </si>
  <si>
    <t>SD231</t>
  </si>
  <si>
    <t>Relex</t>
  </si>
  <si>
    <t>Applied DC Voltage</t>
  </si>
  <si>
    <t>AC RMS Voltage</t>
  </si>
  <si>
    <t>Rated Voltage</t>
  </si>
  <si>
    <t>Voltage Ratio</t>
  </si>
  <si>
    <t>Capacitance</t>
  </si>
  <si>
    <t>Temperature Rise</t>
  </si>
  <si>
    <t>Case Temp Override</t>
  </si>
  <si>
    <t># of Circuit Planes</t>
  </si>
  <si>
    <t>Adjust Connector Count</t>
  </si>
  <si>
    <t>Amps/Contact</t>
  </si>
  <si>
    <t># of Active Contacts</t>
  </si>
  <si>
    <t>Design Life Cycle</t>
  </si>
  <si>
    <t>Cycling Rate Override</t>
  </si>
  <si>
    <t>Max Joining Distance</t>
  </si>
  <si>
    <t>Joint Height</t>
  </si>
  <si>
    <t>Initial Temp Rise</t>
  </si>
  <si>
    <t>Operating Power</t>
  </si>
  <si>
    <t>Temp Rise to Hot Spot</t>
  </si>
  <si>
    <t>Hot Spot Temperature</t>
  </si>
  <si>
    <t>Chips/Package</t>
  </si>
  <si>
    <t>Dissipative Elements</t>
  </si>
  <si>
    <t>Pi Q Value</t>
  </si>
  <si>
    <t># of Bits</t>
  </si>
  <si>
    <t>Pins</t>
  </si>
  <si>
    <t>Reads/Write</t>
  </si>
  <si>
    <t>Average Data Rate</t>
  </si>
  <si>
    <t>Maximum Data Rate</t>
  </si>
  <si>
    <t>Duty Cycle</t>
  </si>
  <si>
    <t>Programming Cycles</t>
  </si>
  <si>
    <t>System Lifetime (Hrs)</t>
  </si>
  <si>
    <t>Junction Temp Override</t>
  </si>
  <si>
    <t xml:space="preserve">Pins </t>
  </si>
  <si>
    <t># of Gates</t>
  </si>
  <si>
    <t>Feature Size</t>
  </si>
  <si>
    <t>Dissipation Surface</t>
  </si>
  <si>
    <t>ESD Susceptibility</t>
  </si>
  <si>
    <t>Frequency</t>
  </si>
  <si>
    <t>Forward Peak Current</t>
  </si>
  <si>
    <t>Required Optical Power</t>
  </si>
  <si>
    <t>Rated Optical Power</t>
  </si>
  <si>
    <t>Optical Power Ratio</t>
  </si>
  <si>
    <t>Cycling Rate</t>
  </si>
  <si>
    <t>Operating Current</t>
  </si>
  <si>
    <t>Rated Current</t>
  </si>
  <si>
    <t>Current Ratio</t>
  </si>
  <si>
    <t>Power Rating</t>
  </si>
  <si>
    <t>Power Ratio</t>
  </si>
  <si>
    <t>Life Cycle</t>
  </si>
  <si>
    <t>Frame Temp Override</t>
  </si>
  <si>
    <t># of Characters</t>
  </si>
  <si>
    <t>Operating Voltage</t>
  </si>
  <si>
    <t># of Stacks</t>
  </si>
  <si>
    <t>Rated Forward Current</t>
  </si>
  <si>
    <t>Average Output Power</t>
  </si>
  <si>
    <t>T495C107K010ATE100</t>
    <phoneticPr fontId="16" type="noConversion"/>
  </si>
  <si>
    <t>M</t>
    <phoneticPr fontId="16" type="noConversion"/>
  </si>
  <si>
    <t>R</t>
    <phoneticPr fontId="16" type="noConversion"/>
  </si>
  <si>
    <t>Mil-Spec</t>
    <phoneticPr fontId="16" type="noConversion"/>
  </si>
  <si>
    <t>Commercial</t>
    <phoneticPr fontId="16" type="noConversion"/>
  </si>
  <si>
    <t>Flotox</t>
    <phoneticPr fontId="16" type="noConversion"/>
  </si>
  <si>
    <t>B</t>
    <phoneticPr fontId="16" type="noConversion"/>
  </si>
  <si>
    <t>TTL</t>
    <phoneticPr fontId="16" type="noConversion"/>
  </si>
  <si>
    <t>DRAM</t>
    <phoneticPr fontId="16" type="noConversion"/>
  </si>
  <si>
    <t>JANTX</t>
    <phoneticPr fontId="16" type="noConversion"/>
  </si>
  <si>
    <t>CL21B473KBCNNNC</t>
    <phoneticPr fontId="16" type="noConversion"/>
  </si>
  <si>
    <t>NXH50VB47M2.5TP6.3X11</t>
    <phoneticPr fontId="16" type="noConversion"/>
  </si>
  <si>
    <t>T322D106K035AT</t>
    <phoneticPr fontId="16" type="noConversion"/>
  </si>
  <si>
    <t>BLM21PG121SN1D</t>
    <phoneticPr fontId="16" type="noConversion"/>
  </si>
  <si>
    <t>PAC6006.204NLT</t>
    <phoneticPr fontId="16" type="noConversion"/>
  </si>
  <si>
    <t>MT25QL128ABB1ESE-0AUT</t>
    <phoneticPr fontId="16" type="noConversion"/>
  </si>
  <si>
    <t>IS31FL3296-UTLS4-TR</t>
    <phoneticPr fontId="16" type="noConversion"/>
  </si>
  <si>
    <t>Sl53340-B-GM</t>
    <phoneticPr fontId="16" type="noConversion"/>
  </si>
  <si>
    <t>MT41K128M16JT-125:K</t>
    <phoneticPr fontId="16" type="noConversion"/>
  </si>
  <si>
    <t>STM32F107VCT6</t>
    <phoneticPr fontId="16" type="noConversion"/>
  </si>
  <si>
    <t>DSC8123CI5</t>
    <phoneticPr fontId="16" type="noConversion"/>
  </si>
  <si>
    <t>TLMS1100-GS15</t>
    <phoneticPr fontId="16" type="noConversion"/>
  </si>
  <si>
    <t>WR06X121JTL</t>
    <phoneticPr fontId="16" type="noConversion"/>
  </si>
  <si>
    <t>WSL2010R1500FEA</t>
    <phoneticPr fontId="16" type="noConversion"/>
  </si>
  <si>
    <t>SMW3100RJT</t>
    <phoneticPr fontId="16" type="noConversion"/>
  </si>
  <si>
    <t>NTCS0805E3103FHT</t>
    <phoneticPr fontId="16" type="noConversion"/>
  </si>
  <si>
    <t>TC33X-2-102E</t>
    <phoneticPr fontId="16" type="noConversion"/>
  </si>
  <si>
    <t>BZT52C8V2-7</t>
    <phoneticPr fontId="16" type="noConversion"/>
  </si>
  <si>
    <t>AO3400A</t>
    <phoneticPr fontId="16" type="noConversion"/>
  </si>
  <si>
    <t>MCR12DSNT4G</t>
    <phoneticPr fontId="16" type="noConversion"/>
  </si>
  <si>
    <t>2SB1260T100R</t>
    <phoneticPr fontId="16" type="noConversion"/>
  </si>
  <si>
    <t>Power Filter</t>
    <phoneticPr fontId="16" type="noConversion"/>
  </si>
  <si>
    <t>Power Filter, Filter Choke</t>
    <phoneticPr fontId="16" type="noConversion"/>
  </si>
  <si>
    <t>LED, Standard</t>
    <phoneticPr fontId="16" type="noConversion"/>
  </si>
  <si>
    <t>Voltage Regulator, Ref, Zener</t>
    <phoneticPr fontId="16" type="noConversion"/>
  </si>
  <si>
    <t>Switching</t>
    <phoneticPr fontId="16" type="noConversion"/>
  </si>
  <si>
    <t>32 Bits</t>
    <phoneticPr fontId="16" type="noConversion"/>
  </si>
  <si>
    <t>Nonhermetic: DIPs, PGA, SMT</t>
    <phoneticPr fontId="16" type="noConversion"/>
  </si>
  <si>
    <t>Chip (RM)</t>
    <phoneticPr fontId="16" type="noConversion"/>
  </si>
  <si>
    <t>MOSFET</t>
    <phoneticPr fontId="16" type="noConversion"/>
  </si>
  <si>
    <t>&gt;=2.0</t>
    <phoneticPr fontId="16" type="noConversion"/>
  </si>
  <si>
    <t>Gb</t>
    <phoneticPr fontId="16" type="noConversion"/>
  </si>
  <si>
    <t>Case</t>
    <phoneticPr fontId="16" type="noConversion"/>
  </si>
  <si>
    <t>uF</t>
    <phoneticPr fontId="16" type="noConversion"/>
  </si>
  <si>
    <t>nF</t>
    <phoneticPr fontId="16" type="noConversion"/>
  </si>
  <si>
    <t>Metallurgically</t>
    <phoneticPr fontId="16" type="noConversion"/>
  </si>
  <si>
    <t>Other</t>
    <phoneticPr fontId="16" type="noConversion"/>
  </si>
  <si>
    <t>Mb</t>
    <phoneticPr fontId="16" type="noConversion"/>
  </si>
  <si>
    <t>&gt;06. to 0.8</t>
    <phoneticPr fontId="16" type="noConversion"/>
  </si>
  <si>
    <t>Integrated Circuit</t>
    <phoneticPr fontId="16" type="noConversion"/>
  </si>
  <si>
    <t>Category</t>
    <phoneticPr fontId="16" type="noConversion"/>
  </si>
  <si>
    <t>Subcategory</t>
    <phoneticPr fontId="16" type="noConversion"/>
  </si>
  <si>
    <t>Linear</t>
    <phoneticPr fontId="16" type="noConversion"/>
  </si>
  <si>
    <t>Quality Level</t>
    <phoneticPr fontId="16" type="noConversion"/>
  </si>
  <si>
    <t>B-1</t>
    <phoneticPr fontId="16" type="noConversion"/>
  </si>
  <si>
    <t># of Transistors</t>
    <phoneticPr fontId="16" type="noConversion"/>
  </si>
  <si>
    <t>Pins</t>
    <phoneticPr fontId="16" type="noConversion"/>
  </si>
  <si>
    <t>Package Type</t>
    <phoneticPr fontId="16" type="noConversion"/>
  </si>
  <si>
    <t>Years in Production</t>
    <phoneticPr fontId="16" type="noConversion"/>
  </si>
  <si>
    <t>Thermal Resistance</t>
    <phoneticPr fontId="16" type="noConversion"/>
  </si>
  <si>
    <t>Junction-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</si>
</sst>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맑은 고딕"/>
      <charset val="1"/>
    </font>
    <font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name val="돋움체"/>
      <family val="3"/>
      <charset val="129"/>
    </font>
    <font>
      <sz val="11"/>
      <color theme="1"/>
      <name val="맑은 고딕"/>
      <family val="2"/>
      <charset val="129"/>
    </font>
    <font>
      <sz val="11"/>
      <color rgb="FF000000"/>
      <name val="Noto Sans CJK SC"/>
      <family val="2"/>
      <charset val="1"/>
    </font>
    <font>
      <sz val="11"/>
      <color theme="1"/>
      <name val="맑은 고딕"/>
      <family val="3"/>
      <charset val="129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4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  <charset val="1"/>
    </font>
    <font>
      <sz val="8"/>
      <name val="돋움"/>
      <family val="3"/>
      <charset val="129"/>
    </font>
    <font>
      <u/>
      <sz val="11"/>
      <color rgb="FF0563C1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4"/>
        <bgColor rgb="FFD9E1F2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4" tint="0.59987182226020086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>
      <alignment vertical="center"/>
    </xf>
    <xf numFmtId="0" fontId="1" fillId="2" borderId="1">
      <alignment horizontal="left" vertical="center" shrinkToFit="1"/>
    </xf>
    <xf numFmtId="0" fontId="1" fillId="3" borderId="1">
      <alignment horizontal="left" vertical="center" shrinkToFit="1"/>
    </xf>
    <xf numFmtId="0" fontId="1" fillId="4" borderId="1">
      <alignment vertical="center" shrinkToFit="1"/>
    </xf>
    <xf numFmtId="0" fontId="1" fillId="5" borderId="1">
      <alignment vertical="center" shrinkToFit="1"/>
    </xf>
    <xf numFmtId="0" fontId="1" fillId="6" borderId="1">
      <alignment horizontal="left" vertical="center" shrinkToFit="1"/>
    </xf>
    <xf numFmtId="0" fontId="1" fillId="7" borderId="1">
      <alignment horizontal="left" vertical="center" shrinkToFit="1"/>
    </xf>
    <xf numFmtId="0" fontId="1" fillId="8" borderId="1">
      <alignment vertical="center" shrinkToFit="1"/>
    </xf>
    <xf numFmtId="0" fontId="1" fillId="9" borderId="1">
      <alignment vertical="center" shrinkToFit="1"/>
    </xf>
    <xf numFmtId="0" fontId="2" fillId="10" borderId="2">
      <alignment horizontal="left" vertical="center" shrinkToFit="1"/>
    </xf>
    <xf numFmtId="0" fontId="3" fillId="0" borderId="0"/>
    <xf numFmtId="0" fontId="1" fillId="0" borderId="0">
      <alignment vertical="center"/>
    </xf>
    <xf numFmtId="0" fontId="4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/>
    <xf numFmtId="0" fontId="5" fillId="11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1" fillId="11" borderId="1" xfId="0" applyFont="1" applyFill="1" applyBorder="1">
      <alignment vertical="center"/>
    </xf>
    <xf numFmtId="0" fontId="0" fillId="11" borderId="3" xfId="0" applyFill="1" applyBorder="1">
      <alignment vertical="center"/>
    </xf>
    <xf numFmtId="0" fontId="5" fillId="11" borderId="1" xfId="0" applyFont="1" applyFill="1" applyBorder="1" applyAlignment="1">
      <alignment horizontal="left" vertical="center"/>
    </xf>
    <xf numFmtId="0" fontId="0" fillId="11" borderId="4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1" borderId="4" xfId="0" applyFont="1" applyFill="1" applyBorder="1">
      <alignment vertical="center"/>
    </xf>
    <xf numFmtId="0" fontId="5" fillId="0" borderId="3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11" borderId="7" xfId="0" applyFill="1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2" borderId="0" xfId="0" applyFill="1" applyAlignment="1"/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10" fillId="13" borderId="0" xfId="0" applyFont="1" applyFill="1">
      <alignment vertical="center"/>
    </xf>
    <xf numFmtId="0" fontId="6" fillId="13" borderId="0" xfId="0" applyFont="1" applyFill="1" applyAlignment="1">
      <alignment horizontal="center" vertical="center" shrinkToFit="1"/>
    </xf>
    <xf numFmtId="0" fontId="10" fillId="12" borderId="10" xfId="0" applyFont="1" applyFill="1" applyBorder="1" applyAlignment="1">
      <alignment horizontal="center" vertical="center" shrinkToFit="1"/>
    </xf>
    <xf numFmtId="0" fontId="10" fillId="15" borderId="10" xfId="0" applyFont="1" applyFill="1" applyBorder="1" applyAlignment="1">
      <alignment horizontal="center" vertical="center" shrinkToFit="1"/>
    </xf>
    <xf numFmtId="0" fontId="10" fillId="15" borderId="12" xfId="0" applyFont="1" applyFill="1" applyBorder="1" applyAlignment="1">
      <alignment horizontal="center" vertical="center" shrinkToFit="1"/>
    </xf>
    <xf numFmtId="0" fontId="11" fillId="13" borderId="0" xfId="0" applyFont="1" applyFill="1" applyAlignment="1">
      <alignment horizontal="center" vertical="center" shrinkToFit="1"/>
    </xf>
    <xf numFmtId="0" fontId="10" fillId="12" borderId="11" xfId="0" applyFont="1" applyFill="1" applyBorder="1" applyAlignment="1">
      <alignment horizontal="center" vertical="center" shrinkToFit="1"/>
    </xf>
    <xf numFmtId="0" fontId="10" fillId="12" borderId="12" xfId="0" applyFont="1" applyFill="1" applyBorder="1" applyAlignment="1">
      <alignment horizontal="center" vertical="center" shrinkToFit="1"/>
    </xf>
    <xf numFmtId="0" fontId="10" fillId="13" borderId="14" xfId="0" applyFont="1" applyFill="1" applyBorder="1">
      <alignment vertical="center"/>
    </xf>
    <xf numFmtId="0" fontId="10" fillId="13" borderId="15" xfId="0" applyFont="1" applyFill="1" applyBorder="1">
      <alignment vertical="center"/>
    </xf>
    <xf numFmtId="0" fontId="10" fillId="13" borderId="16" xfId="0" applyFont="1" applyFill="1" applyBorder="1">
      <alignment vertical="center"/>
    </xf>
    <xf numFmtId="0" fontId="12" fillId="12" borderId="12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16" borderId="1" xfId="0" applyFont="1" applyFill="1" applyBorder="1">
      <alignment vertical="center"/>
    </xf>
    <xf numFmtId="0" fontId="14" fillId="17" borderId="1" xfId="0" applyFont="1" applyFill="1" applyBorder="1" applyAlignment="1">
      <alignment horizontal="left" vertical="center" wrapText="1"/>
    </xf>
    <xf numFmtId="0" fontId="6" fillId="10" borderId="1" xfId="0" applyFont="1" applyFill="1" applyBorder="1">
      <alignment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18" borderId="1" xfId="0" applyNumberFormat="1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4" fillId="20" borderId="0" xfId="0" applyFont="1" applyFill="1">
      <alignment vertical="center"/>
    </xf>
    <xf numFmtId="0" fontId="15" fillId="20" borderId="0" xfId="0" applyFont="1" applyFill="1">
      <alignment vertical="center"/>
    </xf>
    <xf numFmtId="49" fontId="15" fillId="20" borderId="0" xfId="0" applyNumberFormat="1" applyFont="1" applyFill="1">
      <alignment vertical="center"/>
    </xf>
    <xf numFmtId="49" fontId="14" fillId="20" borderId="0" xfId="0" applyNumberFormat="1" applyFont="1" applyFill="1">
      <alignment vertical="center"/>
    </xf>
    <xf numFmtId="0" fontId="14" fillId="21" borderId="0" xfId="0" applyFont="1" applyFill="1">
      <alignment vertical="center"/>
    </xf>
    <xf numFmtId="0" fontId="14" fillId="0" borderId="0" xfId="0" applyFont="1">
      <alignment vertical="center"/>
    </xf>
    <xf numFmtId="49" fontId="14" fillId="0" borderId="0" xfId="0" applyNumberFormat="1" applyFont="1">
      <alignment vertical="center"/>
    </xf>
    <xf numFmtId="0" fontId="14" fillId="16" borderId="0" xfId="0" applyFont="1" applyFill="1">
      <alignment vertical="center"/>
    </xf>
    <xf numFmtId="0" fontId="14" fillId="19" borderId="0" xfId="0" applyFont="1" applyFill="1" applyAlignment="1">
      <alignment horizontal="left" vertical="center" wrapText="1"/>
    </xf>
    <xf numFmtId="0" fontId="14" fillId="18" borderId="0" xfId="0" applyFont="1" applyFill="1">
      <alignment vertical="center"/>
    </xf>
    <xf numFmtId="0" fontId="14" fillId="19" borderId="0" xfId="0" applyFont="1" applyFill="1">
      <alignment vertical="center"/>
    </xf>
    <xf numFmtId="0" fontId="14" fillId="17" borderId="0" xfId="0" applyFont="1" applyFill="1">
      <alignment vertical="center"/>
    </xf>
    <xf numFmtId="49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11" fontId="14" fillId="0" borderId="0" xfId="0" applyNumberFormat="1" applyFont="1">
      <alignment vertical="center"/>
    </xf>
    <xf numFmtId="0" fontId="1" fillId="0" borderId="0" xfId="0" applyFont="1" applyAlignment="1"/>
    <xf numFmtId="0" fontId="14" fillId="0" borderId="0" xfId="0" applyFont="1" applyAlignment="1"/>
    <xf numFmtId="0" fontId="17" fillId="0" borderId="1" xfId="0" applyFont="1" applyBorder="1">
      <alignment vertical="center"/>
    </xf>
    <xf numFmtId="0" fontId="5" fillId="11" borderId="1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2" xfId="0" applyBorder="1" applyAlignment="1"/>
    <xf numFmtId="0" fontId="1" fillId="11" borderId="1" xfId="0" applyFont="1" applyFill="1" applyBorder="1" applyAlignment="1">
      <alignment horizontal="center" vertical="center"/>
    </xf>
    <xf numFmtId="0" fontId="9" fillId="14" borderId="10" xfId="0" applyFont="1" applyFill="1" applyBorder="1">
      <alignment vertical="center"/>
    </xf>
    <xf numFmtId="0" fontId="0" fillId="0" borderId="21" xfId="0" applyBorder="1" applyAlignment="1"/>
    <xf numFmtId="0" fontId="0" fillId="0" borderId="17" xfId="0" applyBorder="1" applyAlignment="1"/>
    <xf numFmtId="0" fontId="10" fillId="12" borderId="10" xfId="0" applyFont="1" applyFill="1" applyBorder="1" applyAlignment="1">
      <alignment horizontal="center" vertical="center" shrinkToFit="1"/>
    </xf>
    <xf numFmtId="0" fontId="10" fillId="15" borderId="10" xfId="0" applyFont="1" applyFill="1" applyBorder="1" applyAlignment="1">
      <alignment horizontal="center" vertical="center" shrinkToFit="1"/>
    </xf>
    <xf numFmtId="0" fontId="9" fillId="14" borderId="11" xfId="0" applyFont="1" applyFill="1" applyBorder="1">
      <alignment vertical="center"/>
    </xf>
    <xf numFmtId="0" fontId="6" fillId="13" borderId="0" xfId="0" applyFont="1" applyFill="1" applyAlignment="1">
      <alignment horizontal="center" vertical="center"/>
    </xf>
    <xf numFmtId="0" fontId="10" fillId="15" borderId="11" xfId="0" applyFont="1" applyFill="1" applyBorder="1" applyAlignment="1">
      <alignment horizontal="center" vertical="center" shrinkToFit="1"/>
    </xf>
    <xf numFmtId="0" fontId="6" fillId="13" borderId="0" xfId="0" applyFont="1" applyFill="1" applyAlignment="1">
      <alignment horizontal="center" vertical="center" shrinkToFit="1"/>
    </xf>
    <xf numFmtId="0" fontId="10" fillId="15" borderId="13" xfId="0" applyFont="1" applyFill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10" fillId="1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</cellXfs>
  <cellStyles count="13">
    <cellStyle name="LV.2 (B)" xfId="1" xr:uid="{00000000-0005-0000-0000-000001000000}"/>
    <cellStyle name="LV.3 (C)" xfId="2" xr:uid="{00000000-0005-0000-0000-000002000000}"/>
    <cellStyle name="LV.4 (D)" xfId="3" xr:uid="{00000000-0005-0000-0000-000003000000}"/>
    <cellStyle name="LV.5 (E)" xfId="4" xr:uid="{00000000-0005-0000-0000-000004000000}"/>
    <cellStyle name="LV.6 (F)" xfId="5" xr:uid="{00000000-0005-0000-0000-000005000000}"/>
    <cellStyle name="LV.7 (G)" xfId="6" xr:uid="{00000000-0005-0000-0000-000006000000}"/>
    <cellStyle name="LV.8 (H)" xfId="7" xr:uid="{00000000-0005-0000-0000-000007000000}"/>
    <cellStyle name="LV.9 (I)" xfId="8" xr:uid="{00000000-0005-0000-0000-000008000000}"/>
    <cellStyle name="수정필요" xfId="9" xr:uid="{00000000-0005-0000-0000-000009000000}"/>
    <cellStyle name="표준" xfId="0" builtinId="0"/>
    <cellStyle name="표준 17" xfId="10" xr:uid="{00000000-0005-0000-0000-00000A000000}"/>
    <cellStyle name="표준 2" xfId="11" xr:uid="{00000000-0005-0000-0000-00000B000000}"/>
    <cellStyle name="표준 3" xfId="12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bit3-pc\Users\Dohheeseok_3T\Desktop\&#53685;&#49548;_PBS+GBL_180725_2&#52264;%20PSA&#48152;&#50689;_v03_SK_08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ownload_%20datasheets/IS31FL3296-UTLS4-TR.pdf" TargetMode="External"/><Relationship Id="rId13" Type="http://schemas.openxmlformats.org/officeDocument/2006/relationships/hyperlink" Target="Download_%20datasheets/TLMS1100-GS15.pdf" TargetMode="External"/><Relationship Id="rId18" Type="http://schemas.openxmlformats.org/officeDocument/2006/relationships/hyperlink" Target="Download_%20datasheets/TC33X-2-102E.pdf" TargetMode="External"/><Relationship Id="rId3" Type="http://schemas.openxmlformats.org/officeDocument/2006/relationships/hyperlink" Target="Download_%20datasheets/NXH50VB47M2.5TP6.3X11.pdf" TargetMode="External"/><Relationship Id="rId21" Type="http://schemas.openxmlformats.org/officeDocument/2006/relationships/hyperlink" Target="Download_%20datasheets/MCR12DSNT4G.pdf" TargetMode="External"/><Relationship Id="rId7" Type="http://schemas.openxmlformats.org/officeDocument/2006/relationships/hyperlink" Target="https://www.datasheets.com/micron/mt25ql128abb1ese-0aut" TargetMode="External"/><Relationship Id="rId12" Type="http://schemas.openxmlformats.org/officeDocument/2006/relationships/hyperlink" Target="Download_%20datasheets/DSC8123CI5.pdf" TargetMode="External"/><Relationship Id="rId17" Type="http://schemas.openxmlformats.org/officeDocument/2006/relationships/hyperlink" Target="Download_%20datasheets/NTCS0805E3103FHT.pdf" TargetMode="External"/><Relationship Id="rId2" Type="http://schemas.openxmlformats.org/officeDocument/2006/relationships/hyperlink" Target="Download_%20datasheets/CL21B473KBCNNNC.pdf" TargetMode="External"/><Relationship Id="rId16" Type="http://schemas.openxmlformats.org/officeDocument/2006/relationships/hyperlink" Target="Download_%20datasheets/SMW3100RJT.pdf" TargetMode="External"/><Relationship Id="rId20" Type="http://schemas.openxmlformats.org/officeDocument/2006/relationships/hyperlink" Target="Download_%20datasheets/AO3400A.pdf" TargetMode="External"/><Relationship Id="rId1" Type="http://schemas.openxmlformats.org/officeDocument/2006/relationships/hyperlink" Target="Download_%20datasheets/T495C107K010ATE100.pdf" TargetMode="External"/><Relationship Id="rId6" Type="http://schemas.openxmlformats.org/officeDocument/2006/relationships/hyperlink" Target="Download_%20datasheets/PAC6006.204NLT.PDF" TargetMode="External"/><Relationship Id="rId11" Type="http://schemas.openxmlformats.org/officeDocument/2006/relationships/hyperlink" Target="Download_%20datasheets/STM32F107VCT6.pdf" TargetMode="External"/><Relationship Id="rId5" Type="http://schemas.openxmlformats.org/officeDocument/2006/relationships/hyperlink" Target="Download_%20datasheets/BLM21PG121SN1D.pdf" TargetMode="External"/><Relationship Id="rId15" Type="http://schemas.openxmlformats.org/officeDocument/2006/relationships/hyperlink" Target="Download_%20datasheets/WSL2010R1500FEA.pdf" TargetMode="External"/><Relationship Id="rId10" Type="http://schemas.openxmlformats.org/officeDocument/2006/relationships/hyperlink" Target="Download_%20datasheets/MT41K128M16JT-125K.pdf" TargetMode="External"/><Relationship Id="rId19" Type="http://schemas.openxmlformats.org/officeDocument/2006/relationships/hyperlink" Target="Download_%20datasheets/BZT52C8V2-7.pdf" TargetMode="External"/><Relationship Id="rId4" Type="http://schemas.openxmlformats.org/officeDocument/2006/relationships/hyperlink" Target="Download_%20datasheets/T322D106K035AT.pdf" TargetMode="External"/><Relationship Id="rId9" Type="http://schemas.openxmlformats.org/officeDocument/2006/relationships/hyperlink" Target="Download_%20datasheets/Sl53340-B-GM.pdf" TargetMode="External"/><Relationship Id="rId14" Type="http://schemas.openxmlformats.org/officeDocument/2006/relationships/hyperlink" Target="https://www.y-ic.com/pdf/Walsin%20Technology/WR06X121JTL.html" TargetMode="External"/><Relationship Id="rId22" Type="http://schemas.openxmlformats.org/officeDocument/2006/relationships/hyperlink" Target="Download_%20datasheets/2SB1260T100R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zoomScale="145" zoomScaleNormal="145" workbookViewId="0">
      <selection activeCell="D11" sqref="D11"/>
    </sheetView>
  </sheetViews>
  <sheetFormatPr defaultColWidth="8.5" defaultRowHeight="16.5"/>
  <cols>
    <col min="2" max="2" width="5.25" style="1" customWidth="1"/>
    <col min="3" max="3" width="39.25" style="1" customWidth="1"/>
    <col min="4" max="4" width="26.125" style="1" bestFit="1" customWidth="1"/>
    <col min="5" max="5" width="21.125" style="1" customWidth="1"/>
    <col min="6" max="7" width="24.875" style="1" customWidth="1"/>
  </cols>
  <sheetData>
    <row r="2" spans="2:8" ht="16.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16.5" customHeight="1">
      <c r="B3" s="5">
        <v>1</v>
      </c>
      <c r="C3" s="5" t="s">
        <v>7</v>
      </c>
      <c r="D3" s="5" t="s">
        <v>817</v>
      </c>
      <c r="E3" s="5"/>
      <c r="F3" s="5" t="s">
        <v>8</v>
      </c>
      <c r="G3" s="77" t="s">
        <v>9</v>
      </c>
      <c r="H3" s="5" t="s">
        <v>10</v>
      </c>
    </row>
    <row r="4" spans="2:8" ht="16.5" customHeight="1">
      <c r="B4" s="5">
        <v>2</v>
      </c>
      <c r="C4" s="5" t="s">
        <v>11</v>
      </c>
      <c r="D4" s="5" t="s">
        <v>827</v>
      </c>
      <c r="E4" s="5"/>
      <c r="F4" s="5" t="s">
        <v>8</v>
      </c>
      <c r="G4" s="77" t="s">
        <v>12</v>
      </c>
      <c r="H4" s="5" t="s">
        <v>13</v>
      </c>
    </row>
    <row r="5" spans="2:8" ht="16.5" customHeight="1">
      <c r="B5" s="5">
        <v>3</v>
      </c>
      <c r="C5" s="5" t="s">
        <v>14</v>
      </c>
      <c r="D5" s="5" t="s">
        <v>828</v>
      </c>
      <c r="E5" s="5"/>
      <c r="F5" s="5" t="s">
        <v>8</v>
      </c>
      <c r="G5" s="77" t="s">
        <v>15</v>
      </c>
      <c r="H5" s="5" t="s">
        <v>16</v>
      </c>
    </row>
    <row r="6" spans="2:8" ht="16.5" customHeight="1">
      <c r="B6" s="5">
        <v>4</v>
      </c>
      <c r="C6" s="5" t="s">
        <v>17</v>
      </c>
      <c r="D6" s="5" t="s">
        <v>829</v>
      </c>
      <c r="E6" s="5"/>
      <c r="F6" s="5" t="s">
        <v>8</v>
      </c>
      <c r="G6" s="77" t="s">
        <v>18</v>
      </c>
      <c r="H6" s="5" t="s">
        <v>19</v>
      </c>
    </row>
    <row r="7" spans="2:8" ht="16.5" customHeight="1">
      <c r="B7" s="5">
        <v>5</v>
      </c>
      <c r="C7" s="5" t="s">
        <v>20</v>
      </c>
      <c r="D7" s="5" t="s">
        <v>830</v>
      </c>
      <c r="E7" s="5"/>
      <c r="F7" s="5" t="s">
        <v>8</v>
      </c>
      <c r="G7" s="77" t="s">
        <v>21</v>
      </c>
      <c r="H7" s="5" t="s">
        <v>22</v>
      </c>
    </row>
    <row r="8" spans="2:8" ht="16.5" customHeight="1">
      <c r="B8" s="5">
        <v>6</v>
      </c>
      <c r="C8" s="5" t="s">
        <v>23</v>
      </c>
      <c r="D8" s="5" t="s">
        <v>831</v>
      </c>
      <c r="E8" s="5"/>
      <c r="F8" s="5" t="s">
        <v>8</v>
      </c>
      <c r="G8" s="77" t="s">
        <v>25</v>
      </c>
      <c r="H8" s="5" t="s">
        <v>26</v>
      </c>
    </row>
    <row r="9" spans="2:8" ht="16.5" customHeight="1">
      <c r="B9" s="5">
        <v>7</v>
      </c>
      <c r="C9" s="5" t="s">
        <v>27</v>
      </c>
      <c r="D9" s="5" t="s">
        <v>832</v>
      </c>
      <c r="E9" s="5"/>
      <c r="F9" s="5" t="s">
        <v>28</v>
      </c>
      <c r="G9" s="77" t="s">
        <v>29</v>
      </c>
      <c r="H9" s="5" t="s">
        <v>30</v>
      </c>
    </row>
    <row r="10" spans="2:8" ht="16.5" customHeight="1">
      <c r="B10" s="5">
        <v>8</v>
      </c>
      <c r="C10" s="5" t="s">
        <v>31</v>
      </c>
      <c r="D10" s="5" t="s">
        <v>833</v>
      </c>
      <c r="E10" s="5"/>
      <c r="F10" s="5" t="s">
        <v>8</v>
      </c>
      <c r="G10" s="77" t="s">
        <v>32</v>
      </c>
      <c r="H10" s="5" t="s">
        <v>33</v>
      </c>
    </row>
    <row r="11" spans="2:8">
      <c r="B11" s="5">
        <v>9</v>
      </c>
      <c r="C11" s="5" t="s">
        <v>34</v>
      </c>
      <c r="D11" s="5" t="s">
        <v>834</v>
      </c>
      <c r="E11" s="5"/>
      <c r="F11" s="5" t="s">
        <v>8</v>
      </c>
      <c r="G11" s="77" t="s">
        <v>35</v>
      </c>
      <c r="H11" s="5" t="s">
        <v>36</v>
      </c>
    </row>
    <row r="12" spans="2:8">
      <c r="B12" s="5">
        <v>10</v>
      </c>
      <c r="C12" s="5" t="s">
        <v>37</v>
      </c>
      <c r="D12" s="5" t="s">
        <v>835</v>
      </c>
      <c r="E12" s="5"/>
      <c r="F12" s="5" t="s">
        <v>8</v>
      </c>
      <c r="G12" s="77" t="s">
        <v>38</v>
      </c>
      <c r="H12" s="5" t="s">
        <v>39</v>
      </c>
    </row>
    <row r="13" spans="2:8">
      <c r="B13" s="5">
        <v>11</v>
      </c>
      <c r="C13" s="5" t="s">
        <v>40</v>
      </c>
      <c r="D13" s="5" t="s">
        <v>836</v>
      </c>
      <c r="E13" s="5"/>
      <c r="F13" s="5" t="s">
        <v>8</v>
      </c>
      <c r="G13" s="77" t="s">
        <v>42</v>
      </c>
      <c r="H13" s="5" t="s">
        <v>43</v>
      </c>
    </row>
    <row r="14" spans="2:8">
      <c r="B14" s="5">
        <v>12</v>
      </c>
      <c r="C14" s="5" t="s">
        <v>44</v>
      </c>
      <c r="D14" s="5" t="s">
        <v>837</v>
      </c>
      <c r="E14" s="5"/>
      <c r="F14" s="5" t="s">
        <v>8</v>
      </c>
      <c r="G14" s="77" t="s">
        <v>45</v>
      </c>
      <c r="H14" s="5" t="s">
        <v>46</v>
      </c>
    </row>
    <row r="15" spans="2:8">
      <c r="B15" s="5">
        <v>13</v>
      </c>
      <c r="C15" s="5" t="s">
        <v>47</v>
      </c>
      <c r="D15" s="5" t="s">
        <v>838</v>
      </c>
      <c r="E15" s="5"/>
      <c r="F15" s="5" t="s">
        <v>8</v>
      </c>
      <c r="G15" s="77" t="s">
        <v>48</v>
      </c>
      <c r="H15" s="5" t="s">
        <v>49</v>
      </c>
    </row>
    <row r="16" spans="2:8">
      <c r="B16" s="5">
        <v>14</v>
      </c>
      <c r="C16" s="5" t="s">
        <v>50</v>
      </c>
      <c r="D16" s="5" t="s">
        <v>839</v>
      </c>
      <c r="E16" s="5"/>
      <c r="F16" s="5" t="s">
        <v>28</v>
      </c>
      <c r="G16" s="77" t="s">
        <v>51</v>
      </c>
      <c r="H16" s="5" t="s">
        <v>52</v>
      </c>
    </row>
    <row r="17" spans="2:8">
      <c r="B17" s="5">
        <v>15</v>
      </c>
      <c r="C17" s="5" t="s">
        <v>53</v>
      </c>
      <c r="D17" s="5" t="s">
        <v>840</v>
      </c>
      <c r="E17" s="5"/>
      <c r="F17" s="5" t="s">
        <v>8</v>
      </c>
      <c r="G17" s="77" t="s">
        <v>54</v>
      </c>
      <c r="H17" s="5" t="s">
        <v>55</v>
      </c>
    </row>
    <row r="18" spans="2:8">
      <c r="B18" s="5">
        <v>16</v>
      </c>
      <c r="C18" s="5" t="s">
        <v>56</v>
      </c>
      <c r="D18" s="5" t="s">
        <v>841</v>
      </c>
      <c r="E18" s="5"/>
      <c r="F18" s="5" t="s">
        <v>8</v>
      </c>
      <c r="G18" s="77" t="s">
        <v>57</v>
      </c>
      <c r="H18" s="5" t="s">
        <v>58</v>
      </c>
    </row>
    <row r="19" spans="2:8">
      <c r="B19" s="5">
        <v>17</v>
      </c>
      <c r="C19" s="5" t="s">
        <v>59</v>
      </c>
      <c r="D19" s="5" t="s">
        <v>842</v>
      </c>
      <c r="E19" s="5"/>
      <c r="F19" s="5" t="s">
        <v>8</v>
      </c>
      <c r="G19" s="77" t="s">
        <v>60</v>
      </c>
      <c r="H19" s="5" t="s">
        <v>61</v>
      </c>
    </row>
    <row r="20" spans="2:8">
      <c r="B20" s="5">
        <v>18</v>
      </c>
      <c r="C20" s="5" t="s">
        <v>62</v>
      </c>
      <c r="D20" s="5" t="s">
        <v>843</v>
      </c>
      <c r="E20" s="5"/>
      <c r="F20" s="5" t="s">
        <v>8</v>
      </c>
      <c r="G20" s="77" t="s">
        <v>63</v>
      </c>
      <c r="H20" s="5" t="s">
        <v>64</v>
      </c>
    </row>
    <row r="21" spans="2:8">
      <c r="B21" s="5">
        <v>19</v>
      </c>
      <c r="C21" s="5" t="s">
        <v>65</v>
      </c>
      <c r="D21" s="5" t="s">
        <v>844</v>
      </c>
      <c r="E21" s="5"/>
      <c r="F21" s="5" t="s">
        <v>8</v>
      </c>
      <c r="G21" s="77" t="s">
        <v>67</v>
      </c>
      <c r="H21" s="5" t="s">
        <v>68</v>
      </c>
    </row>
    <row r="22" spans="2:8">
      <c r="B22" s="5">
        <v>20</v>
      </c>
      <c r="C22" s="5" t="s">
        <v>69</v>
      </c>
      <c r="D22" s="5" t="s">
        <v>845</v>
      </c>
      <c r="E22" s="5"/>
      <c r="F22" s="5" t="s">
        <v>8</v>
      </c>
      <c r="G22" s="77" t="s">
        <v>70</v>
      </c>
      <c r="H22" s="5" t="s">
        <v>71</v>
      </c>
    </row>
    <row r="23" spans="2:8">
      <c r="B23" s="5">
        <v>21</v>
      </c>
      <c r="C23" s="5" t="s">
        <v>72</v>
      </c>
      <c r="D23" s="5" t="s">
        <v>846</v>
      </c>
      <c r="E23" s="5"/>
      <c r="F23" s="5" t="s">
        <v>8</v>
      </c>
      <c r="G23" s="77" t="s">
        <v>73</v>
      </c>
      <c r="H23" s="5" t="s">
        <v>74</v>
      </c>
    </row>
    <row r="24" spans="2:8">
      <c r="B24" s="5">
        <v>22</v>
      </c>
      <c r="C24" s="5" t="s">
        <v>75</v>
      </c>
      <c r="D24" s="5" t="s">
        <v>847</v>
      </c>
      <c r="E24" s="5"/>
      <c r="F24" s="5" t="s">
        <v>8</v>
      </c>
      <c r="G24" s="77" t="s">
        <v>76</v>
      </c>
      <c r="H24" s="5" t="s">
        <v>77</v>
      </c>
    </row>
  </sheetData>
  <phoneticPr fontId="16" type="noConversion"/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3" r:id="rId11" xr:uid="{00000000-0004-0000-0000-00000A000000}"/>
    <hyperlink ref="G14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74"/>
  <sheetViews>
    <sheetView zoomScaleNormal="100" workbookViewId="0">
      <selection activeCell="D5" sqref="D5"/>
    </sheetView>
  </sheetViews>
  <sheetFormatPr defaultColWidth="8.5" defaultRowHeight="16.5"/>
  <cols>
    <col min="2" max="2" width="21.875" style="1" customWidth="1"/>
    <col min="3" max="3" width="11.75" style="1" customWidth="1"/>
    <col min="4" max="4" width="12.625" style="1" customWidth="1"/>
    <col min="5" max="5" width="13.75" style="1" customWidth="1"/>
    <col min="6" max="6" width="11.75" style="1" customWidth="1"/>
    <col min="8" max="8" width="21.75" style="1" customWidth="1"/>
    <col min="9" max="9" width="18.375" style="1" customWidth="1"/>
    <col min="10" max="10" width="18.625" style="1" customWidth="1"/>
    <col min="13" max="13" width="5.625" style="1" customWidth="1"/>
    <col min="14" max="14" width="5.5" style="1" customWidth="1"/>
    <col min="15" max="15" width="4.5" style="1" customWidth="1"/>
    <col min="16" max="16" width="4.625" style="1" customWidth="1"/>
    <col min="17" max="20" width="4.5" style="1" customWidth="1"/>
    <col min="21" max="21" width="5.375" style="1" customWidth="1"/>
    <col min="22" max="22" width="5" style="1" customWidth="1"/>
    <col min="23" max="23" width="5.625" style="1" customWidth="1"/>
    <col min="24" max="24" width="5.5" style="1" customWidth="1"/>
    <col min="26" max="26" width="7.75" style="1" customWidth="1"/>
    <col min="27" max="27" width="16.875" style="1" customWidth="1"/>
    <col min="28" max="29" width="15.875" style="1" customWidth="1"/>
    <col min="30" max="31" width="10" style="1" customWidth="1"/>
    <col min="32" max="32" width="10.875" style="1" customWidth="1"/>
    <col min="33" max="33" width="86.25" style="1" customWidth="1"/>
  </cols>
  <sheetData>
    <row r="2" spans="2:33" ht="16.5" customHeight="1">
      <c r="B2" s="6"/>
      <c r="H2" s="6"/>
      <c r="L2" s="6" t="s">
        <v>78</v>
      </c>
      <c r="Z2" s="6" t="s">
        <v>78</v>
      </c>
    </row>
    <row r="3" spans="2:33" ht="16.5" customHeight="1">
      <c r="B3" s="78" t="s">
        <v>79</v>
      </c>
      <c r="C3" s="79"/>
      <c r="D3" s="79"/>
      <c r="E3" s="79"/>
      <c r="F3" s="80"/>
      <c r="H3" s="81" t="s">
        <v>80</v>
      </c>
      <c r="I3" s="79"/>
      <c r="J3" s="80"/>
      <c r="L3" s="78" t="s">
        <v>81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80"/>
      <c r="Z3" s="78" t="s">
        <v>82</v>
      </c>
      <c r="AA3" s="79"/>
      <c r="AB3" s="79"/>
      <c r="AC3" s="79"/>
      <c r="AD3" s="79"/>
      <c r="AE3" s="79"/>
      <c r="AF3" s="79"/>
      <c r="AG3" s="80"/>
    </row>
    <row r="4" spans="2:33" ht="16.5" customHeight="1">
      <c r="B4" s="2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H4" s="9" t="s">
        <v>88</v>
      </c>
      <c r="I4" s="8" t="s">
        <v>89</v>
      </c>
      <c r="J4" s="8" t="s">
        <v>90</v>
      </c>
      <c r="L4" s="10"/>
      <c r="M4" s="81" t="s">
        <v>91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80"/>
      <c r="Z4" s="2" t="s">
        <v>83</v>
      </c>
      <c r="AA4" s="11" t="s">
        <v>92</v>
      </c>
      <c r="AB4" s="2" t="s">
        <v>93</v>
      </c>
      <c r="AC4" s="2" t="s">
        <v>94</v>
      </c>
      <c r="AD4" s="2" t="s">
        <v>95</v>
      </c>
      <c r="AE4" s="2" t="s">
        <v>96</v>
      </c>
      <c r="AF4" s="2" t="s">
        <v>97</v>
      </c>
      <c r="AG4" s="2" t="s">
        <v>98</v>
      </c>
    </row>
    <row r="5" spans="2:33" ht="16.5" customHeight="1">
      <c r="B5" s="3" t="s">
        <v>99</v>
      </c>
      <c r="C5" s="3" t="s">
        <v>100</v>
      </c>
      <c r="D5" s="5" t="s">
        <v>871</v>
      </c>
      <c r="E5" s="3" t="s">
        <v>102</v>
      </c>
      <c r="F5" s="3" t="s">
        <v>100</v>
      </c>
      <c r="H5" s="5" t="s">
        <v>99</v>
      </c>
      <c r="I5" s="5" t="s">
        <v>103</v>
      </c>
      <c r="J5" s="3">
        <v>28</v>
      </c>
      <c r="L5" s="12"/>
      <c r="M5" s="13"/>
      <c r="N5" s="13" t="s">
        <v>104</v>
      </c>
      <c r="O5" s="13" t="s">
        <v>105</v>
      </c>
      <c r="P5" s="13" t="s">
        <v>106</v>
      </c>
      <c r="Q5" s="7" t="s">
        <v>107</v>
      </c>
      <c r="R5" s="7" t="s">
        <v>108</v>
      </c>
      <c r="S5" s="7" t="s">
        <v>109</v>
      </c>
      <c r="T5" s="7" t="s">
        <v>110</v>
      </c>
      <c r="U5" s="7" t="s">
        <v>111</v>
      </c>
      <c r="V5" s="7" t="s">
        <v>112</v>
      </c>
      <c r="W5" s="7" t="s">
        <v>113</v>
      </c>
      <c r="X5" s="7" t="s">
        <v>114</v>
      </c>
      <c r="Z5" s="4" t="s">
        <v>115</v>
      </c>
      <c r="AA5" s="3">
        <v>850000</v>
      </c>
      <c r="AB5" s="14" t="s">
        <v>104</v>
      </c>
      <c r="AC5" s="15">
        <v>25</v>
      </c>
      <c r="AD5" s="14" t="s">
        <v>104</v>
      </c>
      <c r="AE5" s="15">
        <v>40</v>
      </c>
      <c r="AF5" s="3">
        <f>AA5*N6*Q24</f>
        <v>765000</v>
      </c>
      <c r="AG5" s="4" t="s">
        <v>116</v>
      </c>
    </row>
    <row r="6" spans="2:33" ht="16.5" customHeight="1">
      <c r="B6" s="3" t="s">
        <v>117</v>
      </c>
      <c r="C6" s="3" t="s">
        <v>100</v>
      </c>
      <c r="D6" s="3" t="s">
        <v>118</v>
      </c>
      <c r="E6" s="3" t="s">
        <v>119</v>
      </c>
      <c r="F6" s="3" t="s">
        <v>100</v>
      </c>
      <c r="H6" s="5" t="s">
        <v>99</v>
      </c>
      <c r="I6" s="5" t="s">
        <v>120</v>
      </c>
      <c r="J6" s="3">
        <v>22</v>
      </c>
      <c r="L6" s="16" t="s">
        <v>121</v>
      </c>
      <c r="M6" s="7" t="s">
        <v>104</v>
      </c>
      <c r="N6" s="15">
        <v>1</v>
      </c>
      <c r="O6" s="15">
        <v>0.5</v>
      </c>
      <c r="P6" s="15">
        <v>0.2</v>
      </c>
      <c r="Q6" s="15">
        <v>0.3</v>
      </c>
      <c r="R6" s="15">
        <v>0.1</v>
      </c>
      <c r="S6" s="15">
        <v>0.3</v>
      </c>
      <c r="T6" s="15">
        <v>0.2</v>
      </c>
      <c r="U6" s="15">
        <v>0.1</v>
      </c>
      <c r="V6" s="15">
        <v>0.1</v>
      </c>
      <c r="W6" s="15">
        <v>0.1</v>
      </c>
      <c r="X6" s="15">
        <v>1.2</v>
      </c>
      <c r="Z6" s="4" t="s">
        <v>122</v>
      </c>
      <c r="AA6" s="3">
        <v>850000</v>
      </c>
      <c r="AB6" s="14" t="s">
        <v>104</v>
      </c>
      <c r="AC6" s="15">
        <v>25</v>
      </c>
      <c r="AD6" s="14" t="s">
        <v>107</v>
      </c>
      <c r="AE6" s="15">
        <v>25</v>
      </c>
      <c r="AF6" s="3">
        <f>AA6*Q6*1</f>
        <v>255000</v>
      </c>
      <c r="AG6" s="4" t="s">
        <v>123</v>
      </c>
    </row>
    <row r="7" spans="2:33" ht="16.5" customHeight="1">
      <c r="B7" s="3" t="s">
        <v>124</v>
      </c>
      <c r="C7" s="3" t="s">
        <v>100</v>
      </c>
      <c r="D7" s="3" t="s">
        <v>125</v>
      </c>
      <c r="E7" s="3" t="s">
        <v>126</v>
      </c>
      <c r="F7" s="3" t="s">
        <v>100</v>
      </c>
      <c r="H7" s="5" t="s">
        <v>99</v>
      </c>
      <c r="I7" s="5" t="s">
        <v>127</v>
      </c>
      <c r="J7" s="3">
        <v>20</v>
      </c>
      <c r="L7" s="12"/>
      <c r="M7" s="7" t="s">
        <v>105</v>
      </c>
      <c r="N7" s="15">
        <v>1.9</v>
      </c>
      <c r="O7" s="15">
        <v>1</v>
      </c>
      <c r="P7" s="15">
        <v>0.4</v>
      </c>
      <c r="Q7" s="15">
        <v>0.6</v>
      </c>
      <c r="R7" s="15">
        <v>0.3</v>
      </c>
      <c r="S7" s="15">
        <v>0.6</v>
      </c>
      <c r="T7" s="15">
        <v>0.4</v>
      </c>
      <c r="U7" s="15">
        <v>0.2</v>
      </c>
      <c r="V7" s="15">
        <v>0.1</v>
      </c>
      <c r="W7" s="15">
        <v>0.2</v>
      </c>
      <c r="X7" s="15">
        <v>2.2000000000000002</v>
      </c>
      <c r="Z7" s="4" t="s">
        <v>128</v>
      </c>
      <c r="AA7" s="3">
        <v>850000</v>
      </c>
      <c r="AB7" s="14" t="s">
        <v>104</v>
      </c>
      <c r="AC7" s="15">
        <v>25</v>
      </c>
      <c r="AD7" s="14" t="s">
        <v>107</v>
      </c>
      <c r="AE7" s="15">
        <v>40</v>
      </c>
      <c r="AF7" s="3">
        <f>AA7*Q6*Q24</f>
        <v>229500</v>
      </c>
      <c r="AG7" s="4" t="s">
        <v>116</v>
      </c>
    </row>
    <row r="8" spans="2:33" ht="16.5" customHeight="1">
      <c r="B8" s="5" t="s">
        <v>129</v>
      </c>
      <c r="C8" s="3" t="s">
        <v>100</v>
      </c>
      <c r="D8" s="3" t="s">
        <v>130</v>
      </c>
      <c r="E8" s="3" t="s">
        <v>125</v>
      </c>
      <c r="F8" s="3" t="s">
        <v>100</v>
      </c>
      <c r="H8" s="5" t="s">
        <v>99</v>
      </c>
      <c r="I8" s="5" t="s">
        <v>131</v>
      </c>
      <c r="J8" s="3">
        <v>20</v>
      </c>
      <c r="L8" s="12"/>
      <c r="M8" s="7" t="s">
        <v>106</v>
      </c>
      <c r="N8" s="15">
        <v>4.5999999999999996</v>
      </c>
      <c r="O8" s="15">
        <v>2.5</v>
      </c>
      <c r="P8" s="15">
        <v>1</v>
      </c>
      <c r="Q8" s="15">
        <v>1.4</v>
      </c>
      <c r="R8" s="15">
        <v>0.7</v>
      </c>
      <c r="S8" s="15">
        <v>1.4</v>
      </c>
      <c r="T8" s="15">
        <v>0.6</v>
      </c>
      <c r="U8" s="15">
        <v>0.6</v>
      </c>
      <c r="V8" s="15">
        <v>0.3</v>
      </c>
      <c r="W8" s="15">
        <v>0.5</v>
      </c>
      <c r="X8" s="15">
        <v>5.4</v>
      </c>
      <c r="Z8" s="17" t="s">
        <v>132</v>
      </c>
      <c r="AA8" s="18"/>
      <c r="AB8" s="18"/>
      <c r="AC8" s="18"/>
      <c r="AD8" s="19"/>
    </row>
    <row r="9" spans="2:33" ht="16.5" customHeight="1">
      <c r="B9" s="3" t="s">
        <v>133</v>
      </c>
      <c r="C9" s="3" t="s">
        <v>100</v>
      </c>
      <c r="D9" s="3" t="s">
        <v>134</v>
      </c>
      <c r="E9" s="3" t="s">
        <v>126</v>
      </c>
      <c r="F9" s="3" t="s">
        <v>100</v>
      </c>
      <c r="H9" s="5" t="s">
        <v>99</v>
      </c>
      <c r="I9" s="5" t="s">
        <v>135</v>
      </c>
      <c r="J9" s="3">
        <v>70</v>
      </c>
      <c r="L9" s="12"/>
      <c r="M9" s="7" t="s">
        <v>107</v>
      </c>
      <c r="N9" s="15">
        <v>3.3</v>
      </c>
      <c r="O9" s="15">
        <v>1.8</v>
      </c>
      <c r="P9" s="15">
        <v>0.7</v>
      </c>
      <c r="Q9" s="15">
        <v>1</v>
      </c>
      <c r="R9" s="15">
        <v>0.5</v>
      </c>
      <c r="S9" s="15">
        <v>1</v>
      </c>
      <c r="T9" s="15">
        <v>0.7</v>
      </c>
      <c r="U9" s="15">
        <v>0.4</v>
      </c>
      <c r="V9" s="15">
        <v>0.2</v>
      </c>
      <c r="W9" s="15">
        <v>0.3</v>
      </c>
      <c r="X9" s="15">
        <v>3.8</v>
      </c>
      <c r="Z9" s="20" t="s">
        <v>136</v>
      </c>
      <c r="AA9" s="21"/>
      <c r="AB9" s="21"/>
      <c r="AC9" s="21"/>
      <c r="AD9" s="22"/>
    </row>
    <row r="10" spans="2:33" ht="16.5" customHeight="1">
      <c r="B10" s="3" t="s">
        <v>137</v>
      </c>
      <c r="C10" s="3" t="s">
        <v>100</v>
      </c>
      <c r="D10" s="3" t="s">
        <v>134</v>
      </c>
      <c r="E10" s="3" t="s">
        <v>134</v>
      </c>
      <c r="F10" s="3" t="s">
        <v>100</v>
      </c>
      <c r="H10" s="5" t="s">
        <v>117</v>
      </c>
      <c r="I10" s="5" t="s">
        <v>138</v>
      </c>
      <c r="J10" s="3">
        <v>70</v>
      </c>
      <c r="L10" s="12"/>
      <c r="M10" s="7" t="s">
        <v>108</v>
      </c>
      <c r="N10" s="15">
        <v>7.2</v>
      </c>
      <c r="O10" s="15">
        <v>3.9</v>
      </c>
      <c r="P10" s="15">
        <v>1.6</v>
      </c>
      <c r="Q10" s="15">
        <v>2.2000000000000002</v>
      </c>
      <c r="R10" s="15">
        <v>1</v>
      </c>
      <c r="S10" s="15">
        <v>2.2000000000000002</v>
      </c>
      <c r="T10" s="15">
        <v>1.4</v>
      </c>
      <c r="U10" s="15">
        <v>0.9</v>
      </c>
      <c r="V10" s="15">
        <v>0.5</v>
      </c>
      <c r="W10" s="15">
        <v>0.7</v>
      </c>
      <c r="X10" s="15">
        <v>8.3000000000000007</v>
      </c>
      <c r="Z10" s="6"/>
    </row>
    <row r="11" spans="2:33" ht="16.5" customHeight="1">
      <c r="B11" s="3" t="s">
        <v>139</v>
      </c>
      <c r="C11" s="3" t="s">
        <v>100</v>
      </c>
      <c r="D11" s="3" t="s">
        <v>134</v>
      </c>
      <c r="E11" s="3" t="s">
        <v>126</v>
      </c>
      <c r="F11" s="3" t="s">
        <v>100</v>
      </c>
      <c r="H11" s="5" t="s">
        <v>117</v>
      </c>
      <c r="I11" s="5" t="s">
        <v>140</v>
      </c>
      <c r="J11" s="3">
        <v>10</v>
      </c>
      <c r="L11" s="12"/>
      <c r="M11" s="7" t="s">
        <v>109</v>
      </c>
      <c r="N11" s="15">
        <v>3.3</v>
      </c>
      <c r="O11" s="15">
        <v>1.8</v>
      </c>
      <c r="P11" s="15">
        <v>0.7</v>
      </c>
      <c r="Q11" s="15">
        <v>1</v>
      </c>
      <c r="R11" s="15">
        <v>0.5</v>
      </c>
      <c r="S11" s="15">
        <v>1</v>
      </c>
      <c r="T11" s="15">
        <v>0.7</v>
      </c>
      <c r="U11" s="15">
        <v>0.4</v>
      </c>
      <c r="V11" s="15">
        <v>0.2</v>
      </c>
      <c r="W11" s="15">
        <v>0.3</v>
      </c>
      <c r="X11" s="15">
        <v>3.9</v>
      </c>
    </row>
    <row r="12" spans="2:33" ht="16.5" customHeight="1">
      <c r="B12" s="3" t="s">
        <v>141</v>
      </c>
      <c r="C12" s="3" t="s">
        <v>100</v>
      </c>
      <c r="D12" s="3" t="s">
        <v>134</v>
      </c>
      <c r="E12" s="3" t="s">
        <v>134</v>
      </c>
      <c r="F12" s="3" t="s">
        <v>100</v>
      </c>
      <c r="H12" s="5" t="s">
        <v>117</v>
      </c>
      <c r="I12" s="5" t="s">
        <v>142</v>
      </c>
      <c r="J12" s="3">
        <v>70</v>
      </c>
      <c r="L12" s="12"/>
      <c r="M12" s="7" t="s">
        <v>110</v>
      </c>
      <c r="N12" s="15">
        <v>5</v>
      </c>
      <c r="O12" s="15">
        <v>2.7</v>
      </c>
      <c r="P12" s="15">
        <v>1.1000000000000001</v>
      </c>
      <c r="Q12" s="15">
        <v>1.5</v>
      </c>
      <c r="R12" s="15">
        <v>0.7</v>
      </c>
      <c r="S12" s="15">
        <v>1.5</v>
      </c>
      <c r="T12" s="15">
        <v>1</v>
      </c>
      <c r="U12" s="15">
        <v>0.6</v>
      </c>
      <c r="V12" s="15">
        <v>0.4</v>
      </c>
      <c r="W12" s="15">
        <v>0.5</v>
      </c>
      <c r="X12" s="15">
        <v>5.8</v>
      </c>
    </row>
    <row r="13" spans="2:33" ht="16.5" customHeight="1">
      <c r="B13" s="3" t="s">
        <v>143</v>
      </c>
      <c r="C13" s="3" t="s">
        <v>100</v>
      </c>
      <c r="D13" s="3" t="s">
        <v>134</v>
      </c>
      <c r="E13" s="3" t="s">
        <v>134</v>
      </c>
      <c r="F13" s="3" t="s">
        <v>100</v>
      </c>
      <c r="H13" s="5" t="s">
        <v>117</v>
      </c>
      <c r="I13" s="5" t="s">
        <v>144</v>
      </c>
      <c r="J13" s="3">
        <v>70</v>
      </c>
      <c r="L13" s="12"/>
      <c r="M13" s="7" t="s">
        <v>111</v>
      </c>
      <c r="N13" s="15">
        <v>8.1999999999999993</v>
      </c>
      <c r="O13" s="15">
        <v>4.4000000000000004</v>
      </c>
      <c r="P13" s="15">
        <v>1.8</v>
      </c>
      <c r="Q13" s="15">
        <v>2.5</v>
      </c>
      <c r="R13" s="15">
        <v>1.2</v>
      </c>
      <c r="S13" s="15">
        <v>2.5</v>
      </c>
      <c r="T13" s="15">
        <v>1.6</v>
      </c>
      <c r="U13" s="15">
        <v>1</v>
      </c>
      <c r="V13" s="15">
        <v>0.6</v>
      </c>
      <c r="W13" s="15">
        <v>0.8</v>
      </c>
      <c r="X13" s="15">
        <v>9.5</v>
      </c>
    </row>
    <row r="14" spans="2:33" ht="16.5" customHeight="1">
      <c r="B14" s="3" t="s">
        <v>145</v>
      </c>
      <c r="C14" s="3" t="s">
        <v>100</v>
      </c>
      <c r="D14" s="3" t="s">
        <v>118</v>
      </c>
      <c r="E14" s="3" t="s">
        <v>119</v>
      </c>
      <c r="F14" s="3" t="s">
        <v>100</v>
      </c>
      <c r="H14" s="5" t="s">
        <v>117</v>
      </c>
      <c r="I14" s="5" t="s">
        <v>146</v>
      </c>
      <c r="J14" s="3">
        <v>70</v>
      </c>
      <c r="L14" s="12"/>
      <c r="M14" s="7" t="s">
        <v>112</v>
      </c>
      <c r="N14" s="15">
        <v>14.1</v>
      </c>
      <c r="O14" s="15">
        <v>7.6</v>
      </c>
      <c r="P14" s="15">
        <v>3.1</v>
      </c>
      <c r="Q14" s="15">
        <v>4.4000000000000004</v>
      </c>
      <c r="R14" s="15">
        <v>2</v>
      </c>
      <c r="S14" s="15">
        <v>4.2</v>
      </c>
      <c r="T14" s="15">
        <v>2.8</v>
      </c>
      <c r="U14" s="15">
        <v>1.7</v>
      </c>
      <c r="V14" s="15">
        <v>1</v>
      </c>
      <c r="W14" s="15">
        <v>1.4</v>
      </c>
      <c r="X14" s="15">
        <v>16.399999999999999</v>
      </c>
    </row>
    <row r="15" spans="2:33" ht="16.5" customHeight="1">
      <c r="B15" s="3" t="s">
        <v>147</v>
      </c>
      <c r="C15" s="3" t="s">
        <v>100</v>
      </c>
      <c r="D15" s="3" t="s">
        <v>134</v>
      </c>
      <c r="E15" s="3" t="s">
        <v>134</v>
      </c>
      <c r="F15" s="3" t="s">
        <v>100</v>
      </c>
      <c r="H15" s="5" t="s">
        <v>117</v>
      </c>
      <c r="I15" s="5" t="s">
        <v>148</v>
      </c>
      <c r="J15" s="3">
        <v>70</v>
      </c>
      <c r="L15" s="12"/>
      <c r="M15" s="7" t="s">
        <v>113</v>
      </c>
      <c r="N15" s="15">
        <v>10.199999999999999</v>
      </c>
      <c r="O15" s="15">
        <v>5.5</v>
      </c>
      <c r="P15" s="15">
        <v>2.2000000000000002</v>
      </c>
      <c r="Q15" s="15">
        <v>3.2</v>
      </c>
      <c r="R15" s="15">
        <v>1.4</v>
      </c>
      <c r="S15" s="15">
        <v>3.1</v>
      </c>
      <c r="T15" s="15">
        <v>2.1</v>
      </c>
      <c r="U15" s="15">
        <v>1.3</v>
      </c>
      <c r="V15" s="15">
        <v>0.7</v>
      </c>
      <c r="W15" s="15">
        <v>1</v>
      </c>
      <c r="X15" s="15">
        <v>11.9</v>
      </c>
    </row>
    <row r="16" spans="2:33" ht="16.5" customHeight="1">
      <c r="H16" s="5" t="s">
        <v>117</v>
      </c>
      <c r="I16" s="5" t="s">
        <v>149</v>
      </c>
      <c r="J16" s="3">
        <v>70</v>
      </c>
      <c r="L16" s="23"/>
      <c r="M16" s="7" t="s">
        <v>114</v>
      </c>
      <c r="N16" s="15">
        <v>0.9</v>
      </c>
      <c r="O16" s="15">
        <v>0.5</v>
      </c>
      <c r="P16" s="15">
        <v>0.2</v>
      </c>
      <c r="Q16" s="15">
        <v>0.3</v>
      </c>
      <c r="R16" s="15">
        <v>0.1</v>
      </c>
      <c r="S16" s="15">
        <v>0.3</v>
      </c>
      <c r="T16" s="15">
        <v>0.2</v>
      </c>
      <c r="U16" s="15">
        <v>0.1</v>
      </c>
      <c r="V16" s="15">
        <v>0.1</v>
      </c>
      <c r="W16" s="15">
        <v>0.1</v>
      </c>
      <c r="X16" s="15">
        <v>1</v>
      </c>
    </row>
    <row r="17" spans="8:20" ht="16.5" customHeight="1">
      <c r="H17" s="5" t="s">
        <v>117</v>
      </c>
      <c r="I17" s="5" t="s">
        <v>150</v>
      </c>
      <c r="J17" s="3">
        <v>5</v>
      </c>
      <c r="T17" s="24"/>
    </row>
    <row r="18" spans="8:20" ht="16.5" customHeight="1">
      <c r="H18" s="5" t="s">
        <v>117</v>
      </c>
      <c r="I18" s="5" t="s">
        <v>151</v>
      </c>
      <c r="J18" s="3">
        <v>70</v>
      </c>
      <c r="L18" s="6" t="s">
        <v>78</v>
      </c>
    </row>
    <row r="19" spans="8:20" ht="16.5" customHeight="1">
      <c r="H19" s="5" t="s">
        <v>117</v>
      </c>
      <c r="I19" s="5" t="s">
        <v>152</v>
      </c>
      <c r="J19" s="3">
        <v>70</v>
      </c>
      <c r="L19" s="78" t="s">
        <v>153</v>
      </c>
      <c r="M19" s="79"/>
      <c r="N19" s="79"/>
      <c r="O19" s="79"/>
      <c r="P19" s="79"/>
      <c r="Q19" s="79"/>
      <c r="R19" s="79"/>
      <c r="S19" s="79"/>
      <c r="T19" s="80"/>
    </row>
    <row r="20" spans="8:20" ht="16.5" customHeight="1">
      <c r="H20" s="5" t="s">
        <v>117</v>
      </c>
      <c r="I20" s="5" t="s">
        <v>154</v>
      </c>
      <c r="J20" s="3">
        <v>10</v>
      </c>
      <c r="L20" s="10"/>
      <c r="M20" s="81" t="s">
        <v>155</v>
      </c>
      <c r="N20" s="79"/>
      <c r="O20" s="79"/>
      <c r="P20" s="79"/>
      <c r="Q20" s="79"/>
      <c r="R20" s="79"/>
      <c r="S20" s="79"/>
      <c r="T20" s="80"/>
    </row>
    <row r="21" spans="8:20" ht="16.5" customHeight="1">
      <c r="H21" s="5" t="s">
        <v>117</v>
      </c>
      <c r="I21" s="5" t="s">
        <v>156</v>
      </c>
      <c r="J21" s="3">
        <v>70</v>
      </c>
      <c r="L21" s="12"/>
      <c r="M21" s="13"/>
      <c r="N21" s="13">
        <v>10</v>
      </c>
      <c r="O21" s="13">
        <v>20</v>
      </c>
      <c r="P21" s="13">
        <v>30</v>
      </c>
      <c r="Q21" s="7">
        <v>40</v>
      </c>
      <c r="R21" s="7">
        <v>50</v>
      </c>
      <c r="S21" s="7">
        <v>60</v>
      </c>
      <c r="T21" s="7">
        <v>70</v>
      </c>
    </row>
    <row r="22" spans="8:20" ht="16.5" customHeight="1">
      <c r="H22" s="5" t="s">
        <v>117</v>
      </c>
      <c r="I22" s="5" t="s">
        <v>157</v>
      </c>
      <c r="J22" s="3">
        <v>70</v>
      </c>
      <c r="L22" s="16" t="s">
        <v>158</v>
      </c>
      <c r="M22" s="7">
        <v>10</v>
      </c>
      <c r="N22" s="15">
        <v>1</v>
      </c>
      <c r="O22" s="15">
        <v>0.9</v>
      </c>
      <c r="P22" s="15">
        <v>0.8</v>
      </c>
      <c r="Q22" s="15">
        <v>0.8</v>
      </c>
      <c r="R22" s="15">
        <v>0.7</v>
      </c>
      <c r="S22" s="15">
        <v>0.5</v>
      </c>
      <c r="T22" s="15">
        <v>0.4</v>
      </c>
    </row>
    <row r="23" spans="8:20" ht="16.5" customHeight="1">
      <c r="H23" s="5" t="s">
        <v>117</v>
      </c>
      <c r="I23" s="5" t="s">
        <v>159</v>
      </c>
      <c r="J23" s="3">
        <v>70</v>
      </c>
      <c r="L23" s="12"/>
      <c r="M23" s="7">
        <v>20</v>
      </c>
      <c r="N23" s="15">
        <v>1.1000000000000001</v>
      </c>
      <c r="O23" s="15">
        <v>1</v>
      </c>
      <c r="P23" s="15">
        <v>0.9</v>
      </c>
      <c r="Q23" s="15">
        <v>0.8</v>
      </c>
      <c r="R23" s="15">
        <v>0.7</v>
      </c>
      <c r="S23" s="15">
        <v>0.6</v>
      </c>
      <c r="T23" s="15">
        <v>0.5</v>
      </c>
    </row>
    <row r="24" spans="8:20" ht="16.5" customHeight="1">
      <c r="H24" s="5" t="s">
        <v>117</v>
      </c>
      <c r="I24" s="5" t="s">
        <v>160</v>
      </c>
      <c r="J24" s="3">
        <v>5</v>
      </c>
      <c r="L24" s="12"/>
      <c r="M24" s="7">
        <v>30</v>
      </c>
      <c r="N24" s="15">
        <v>1.2</v>
      </c>
      <c r="O24" s="15">
        <v>1.1000000000000001</v>
      </c>
      <c r="P24" s="15">
        <v>1</v>
      </c>
      <c r="Q24" s="15">
        <v>0.9</v>
      </c>
      <c r="R24" s="15">
        <v>0.8</v>
      </c>
      <c r="S24" s="15">
        <v>0.6</v>
      </c>
      <c r="T24" s="15">
        <v>0.5</v>
      </c>
    </row>
    <row r="25" spans="8:20" ht="16.5" customHeight="1">
      <c r="H25" s="5" t="s">
        <v>117</v>
      </c>
      <c r="I25" s="5" t="s">
        <v>161</v>
      </c>
      <c r="J25" s="3">
        <v>5</v>
      </c>
      <c r="L25" s="12"/>
      <c r="M25" s="7">
        <v>40</v>
      </c>
      <c r="N25" s="15">
        <v>1.3</v>
      </c>
      <c r="O25" s="15">
        <v>1.2</v>
      </c>
      <c r="P25" s="15">
        <v>1.1000000000000001</v>
      </c>
      <c r="Q25" s="15">
        <v>1</v>
      </c>
      <c r="R25" s="15">
        <v>0.9</v>
      </c>
      <c r="S25" s="15">
        <v>0.7</v>
      </c>
      <c r="T25" s="15">
        <v>0.6</v>
      </c>
    </row>
    <row r="26" spans="8:20" ht="16.5" customHeight="1">
      <c r="H26" s="5" t="s">
        <v>117</v>
      </c>
      <c r="I26" s="5" t="s">
        <v>162</v>
      </c>
      <c r="J26" s="3">
        <v>5</v>
      </c>
      <c r="L26" s="12"/>
      <c r="M26" s="7">
        <v>50</v>
      </c>
      <c r="N26" s="15">
        <v>1.5</v>
      </c>
      <c r="O26" s="15">
        <v>1.4</v>
      </c>
      <c r="P26" s="15">
        <v>1.2</v>
      </c>
      <c r="Q26" s="15">
        <v>1.1000000000000001</v>
      </c>
      <c r="R26" s="15">
        <v>1</v>
      </c>
      <c r="S26" s="15">
        <v>0.8</v>
      </c>
      <c r="T26" s="15">
        <v>0.7</v>
      </c>
    </row>
    <row r="27" spans="8:20" ht="16.5" customHeight="1">
      <c r="H27" s="5" t="s">
        <v>117</v>
      </c>
      <c r="I27" s="5" t="s">
        <v>163</v>
      </c>
      <c r="J27" s="3">
        <v>5</v>
      </c>
      <c r="L27" s="12"/>
      <c r="M27" s="7">
        <v>60</v>
      </c>
      <c r="N27" s="15">
        <v>1.9</v>
      </c>
      <c r="O27" s="15">
        <v>1.7</v>
      </c>
      <c r="P27" s="15">
        <v>1.6</v>
      </c>
      <c r="Q27" s="15">
        <v>1.5</v>
      </c>
      <c r="R27" s="15">
        <v>1.2</v>
      </c>
      <c r="S27" s="15">
        <v>1</v>
      </c>
      <c r="T27" s="15">
        <v>0.8</v>
      </c>
    </row>
    <row r="28" spans="8:20" ht="16.5" customHeight="1">
      <c r="H28" s="5" t="s">
        <v>117</v>
      </c>
      <c r="I28" s="5" t="s">
        <v>164</v>
      </c>
      <c r="J28" s="3">
        <v>5</v>
      </c>
      <c r="L28" s="23"/>
      <c r="M28" s="7">
        <v>70</v>
      </c>
      <c r="N28" s="15">
        <v>2.4</v>
      </c>
      <c r="O28" s="15">
        <v>2.2000000000000002</v>
      </c>
      <c r="P28" s="15">
        <v>1.9</v>
      </c>
      <c r="Q28" s="15">
        <v>1.8</v>
      </c>
      <c r="R28" s="15">
        <v>1.5</v>
      </c>
      <c r="S28" s="15">
        <v>1.2</v>
      </c>
      <c r="T28" s="15">
        <v>1</v>
      </c>
    </row>
    <row r="29" spans="8:20" ht="16.5" customHeight="1">
      <c r="H29" s="5" t="s">
        <v>117</v>
      </c>
      <c r="I29" s="5" t="s">
        <v>165</v>
      </c>
      <c r="J29" s="3">
        <v>5</v>
      </c>
    </row>
    <row r="30" spans="8:20" ht="16.5" customHeight="1">
      <c r="H30" s="5" t="s">
        <v>117</v>
      </c>
      <c r="I30" s="5" t="s">
        <v>166</v>
      </c>
      <c r="J30" s="3">
        <v>10</v>
      </c>
    </row>
    <row r="31" spans="8:20" ht="16.5" customHeight="1">
      <c r="H31" s="5" t="s">
        <v>117</v>
      </c>
      <c r="I31" s="5" t="s">
        <v>167</v>
      </c>
      <c r="J31" s="3">
        <v>70</v>
      </c>
    </row>
    <row r="32" spans="8:20" ht="16.5" customHeight="1">
      <c r="H32" s="5" t="s">
        <v>117</v>
      </c>
      <c r="I32" s="5" t="s">
        <v>168</v>
      </c>
      <c r="J32" s="3">
        <v>70</v>
      </c>
    </row>
    <row r="33" spans="8:10" ht="16.5" customHeight="1">
      <c r="H33" s="5" t="s">
        <v>117</v>
      </c>
      <c r="I33" s="5" t="s">
        <v>169</v>
      </c>
      <c r="J33" s="3">
        <v>5</v>
      </c>
    </row>
    <row r="34" spans="8:10" ht="16.5" customHeight="1">
      <c r="H34" s="5" t="s">
        <v>117</v>
      </c>
      <c r="I34" s="5" t="s">
        <v>170</v>
      </c>
      <c r="J34" s="3">
        <v>22</v>
      </c>
    </row>
    <row r="35" spans="8:10" ht="16.5" customHeight="1">
      <c r="H35" s="5" t="s">
        <v>117</v>
      </c>
      <c r="I35" s="5" t="s">
        <v>171</v>
      </c>
      <c r="J35" s="3">
        <v>70</v>
      </c>
    </row>
    <row r="36" spans="8:10" ht="16.5" customHeight="1">
      <c r="H36" s="5" t="s">
        <v>117</v>
      </c>
      <c r="I36" s="5" t="s">
        <v>172</v>
      </c>
      <c r="J36" s="3">
        <v>5</v>
      </c>
    </row>
    <row r="37" spans="8:10" ht="16.5" customHeight="1">
      <c r="H37" s="5" t="s">
        <v>117</v>
      </c>
      <c r="I37" s="5" t="s">
        <v>173</v>
      </c>
      <c r="J37" s="3">
        <v>70</v>
      </c>
    </row>
    <row r="38" spans="8:10" ht="16.5" customHeight="1">
      <c r="H38" s="5" t="s">
        <v>117</v>
      </c>
      <c r="I38" s="5" t="s">
        <v>174</v>
      </c>
      <c r="J38" s="3">
        <v>5</v>
      </c>
    </row>
    <row r="39" spans="8:10" ht="16.5" customHeight="1">
      <c r="H39" s="5" t="s">
        <v>117</v>
      </c>
      <c r="I39" s="5" t="s">
        <v>175</v>
      </c>
      <c r="J39" s="3">
        <v>5</v>
      </c>
    </row>
    <row r="40" spans="8:10" ht="16.5" customHeight="1">
      <c r="H40" s="5" t="s">
        <v>117</v>
      </c>
      <c r="I40" s="5" t="s">
        <v>176</v>
      </c>
      <c r="J40" s="3">
        <v>10</v>
      </c>
    </row>
    <row r="41" spans="8:10" ht="16.5" customHeight="1">
      <c r="H41" s="5" t="s">
        <v>117</v>
      </c>
      <c r="I41" s="5" t="s">
        <v>177</v>
      </c>
      <c r="J41" s="3">
        <v>10</v>
      </c>
    </row>
    <row r="42" spans="8:10" ht="16.5" customHeight="1">
      <c r="H42" s="5" t="s">
        <v>117</v>
      </c>
      <c r="I42" s="5" t="s">
        <v>178</v>
      </c>
      <c r="J42" s="3">
        <v>70</v>
      </c>
    </row>
    <row r="43" spans="8:10" ht="16.5" customHeight="1">
      <c r="H43" s="5" t="s">
        <v>117</v>
      </c>
      <c r="I43" s="5" t="s">
        <v>179</v>
      </c>
      <c r="J43" s="3">
        <v>70</v>
      </c>
    </row>
    <row r="44" spans="8:10" ht="16.5" customHeight="1">
      <c r="H44" s="5" t="s">
        <v>117</v>
      </c>
      <c r="I44" s="5" t="s">
        <v>180</v>
      </c>
      <c r="J44" s="3">
        <v>5</v>
      </c>
    </row>
    <row r="45" spans="8:10" ht="16.5" customHeight="1">
      <c r="H45" s="5" t="s">
        <v>117</v>
      </c>
      <c r="I45" s="5" t="s">
        <v>181</v>
      </c>
      <c r="J45" s="3">
        <v>5</v>
      </c>
    </row>
    <row r="46" spans="8:10" ht="16.5" customHeight="1">
      <c r="H46" s="5" t="s">
        <v>117</v>
      </c>
      <c r="I46" s="5" t="s">
        <v>182</v>
      </c>
      <c r="J46" s="3">
        <v>5</v>
      </c>
    </row>
    <row r="47" spans="8:10" ht="16.5" customHeight="1">
      <c r="H47" s="5" t="s">
        <v>117</v>
      </c>
      <c r="I47" s="5" t="s">
        <v>183</v>
      </c>
      <c r="J47" s="3">
        <v>10</v>
      </c>
    </row>
    <row r="48" spans="8:10" ht="16.5" customHeight="1">
      <c r="H48" s="5" t="s">
        <v>117</v>
      </c>
      <c r="I48" s="5" t="s">
        <v>184</v>
      </c>
      <c r="J48" s="3">
        <v>5</v>
      </c>
    </row>
    <row r="49" spans="8:10" ht="16.5" customHeight="1">
      <c r="H49" s="5" t="s">
        <v>117</v>
      </c>
      <c r="I49" s="5" t="s">
        <v>185</v>
      </c>
      <c r="J49" s="3">
        <v>5</v>
      </c>
    </row>
    <row r="50" spans="8:10" ht="16.5" customHeight="1">
      <c r="H50" s="5" t="s">
        <v>117</v>
      </c>
      <c r="I50" s="5" t="s">
        <v>186</v>
      </c>
      <c r="J50" s="3">
        <v>10</v>
      </c>
    </row>
    <row r="51" spans="8:10" ht="16.5" customHeight="1">
      <c r="H51" s="5" t="s">
        <v>117</v>
      </c>
      <c r="I51" s="5" t="s">
        <v>187</v>
      </c>
      <c r="J51" s="3">
        <v>5</v>
      </c>
    </row>
    <row r="52" spans="8:10" ht="16.5" customHeight="1">
      <c r="H52" s="5" t="s">
        <v>117</v>
      </c>
      <c r="I52" s="5" t="s">
        <v>188</v>
      </c>
      <c r="J52" s="3">
        <v>10</v>
      </c>
    </row>
    <row r="53" spans="8:10" ht="16.5" customHeight="1">
      <c r="H53" s="5" t="s">
        <v>117</v>
      </c>
      <c r="I53" s="5" t="s">
        <v>189</v>
      </c>
      <c r="J53" s="3">
        <v>10</v>
      </c>
    </row>
    <row r="54" spans="8:10" ht="16.5" customHeight="1">
      <c r="H54" s="5" t="s">
        <v>117</v>
      </c>
      <c r="I54" s="5" t="s">
        <v>190</v>
      </c>
      <c r="J54" s="3">
        <v>10</v>
      </c>
    </row>
    <row r="55" spans="8:10" ht="16.5" customHeight="1">
      <c r="H55" s="5" t="s">
        <v>117</v>
      </c>
      <c r="I55" s="5" t="s">
        <v>191</v>
      </c>
      <c r="J55" s="3">
        <v>5</v>
      </c>
    </row>
    <row r="56" spans="8:10" ht="16.5" customHeight="1">
      <c r="H56" s="5" t="s">
        <v>117</v>
      </c>
      <c r="I56" s="5" t="s">
        <v>192</v>
      </c>
      <c r="J56" s="3">
        <v>70</v>
      </c>
    </row>
    <row r="57" spans="8:10" ht="16.5" customHeight="1">
      <c r="H57" s="5" t="s">
        <v>117</v>
      </c>
      <c r="I57" s="5" t="s">
        <v>193</v>
      </c>
      <c r="J57" s="3">
        <v>5</v>
      </c>
    </row>
    <row r="58" spans="8:10" ht="16.5" customHeight="1">
      <c r="H58" s="5" t="s">
        <v>117</v>
      </c>
      <c r="I58" s="5" t="s">
        <v>194</v>
      </c>
      <c r="J58" s="3">
        <v>70</v>
      </c>
    </row>
    <row r="59" spans="8:10" ht="16.5" customHeight="1">
      <c r="H59" s="5" t="s">
        <v>117</v>
      </c>
      <c r="I59" s="5" t="s">
        <v>195</v>
      </c>
      <c r="J59" s="3">
        <v>70</v>
      </c>
    </row>
    <row r="60" spans="8:10" ht="16.5" customHeight="1">
      <c r="H60" s="5" t="s">
        <v>117</v>
      </c>
      <c r="I60" s="5" t="s">
        <v>196</v>
      </c>
      <c r="J60" s="3">
        <v>70</v>
      </c>
    </row>
    <row r="61" spans="8:10" ht="16.5" customHeight="1">
      <c r="H61" s="5" t="s">
        <v>117</v>
      </c>
      <c r="I61" s="5" t="s">
        <v>197</v>
      </c>
      <c r="J61" s="3">
        <v>70</v>
      </c>
    </row>
    <row r="62" spans="8:10" ht="16.5" customHeight="1">
      <c r="H62" s="5" t="s">
        <v>117</v>
      </c>
      <c r="I62" s="5" t="s">
        <v>198</v>
      </c>
      <c r="J62" s="3">
        <v>70</v>
      </c>
    </row>
    <row r="63" spans="8:10" ht="16.5" customHeight="1">
      <c r="H63" s="5" t="s">
        <v>117</v>
      </c>
      <c r="I63" s="5" t="s">
        <v>199</v>
      </c>
      <c r="J63" s="3">
        <v>70</v>
      </c>
    </row>
    <row r="64" spans="8:10" ht="16.5" customHeight="1">
      <c r="H64" s="5" t="s">
        <v>117</v>
      </c>
      <c r="I64" s="5" t="s">
        <v>200</v>
      </c>
      <c r="J64" s="3">
        <v>70</v>
      </c>
    </row>
    <row r="65" spans="8:10" ht="16.5" customHeight="1">
      <c r="H65" s="5" t="s">
        <v>117</v>
      </c>
      <c r="I65" s="5" t="s">
        <v>201</v>
      </c>
      <c r="J65" s="3">
        <v>70</v>
      </c>
    </row>
    <row r="66" spans="8:10" ht="16.5" customHeight="1">
      <c r="H66" s="5" t="s">
        <v>117</v>
      </c>
      <c r="I66" s="5" t="s">
        <v>202</v>
      </c>
      <c r="J66" s="3">
        <v>70</v>
      </c>
    </row>
    <row r="67" spans="8:10" ht="16.5" customHeight="1">
      <c r="H67" s="5" t="s">
        <v>117</v>
      </c>
      <c r="I67" s="5" t="s">
        <v>203</v>
      </c>
      <c r="J67" s="3">
        <v>70</v>
      </c>
    </row>
    <row r="68" spans="8:10" ht="16.5" customHeight="1">
      <c r="H68" s="5" t="s">
        <v>117</v>
      </c>
      <c r="I68" s="5" t="s">
        <v>204</v>
      </c>
      <c r="J68" s="3">
        <v>70</v>
      </c>
    </row>
    <row r="69" spans="8:10" ht="16.5" customHeight="1">
      <c r="H69" s="5" t="s">
        <v>117</v>
      </c>
      <c r="I69" s="5" t="s">
        <v>205</v>
      </c>
      <c r="J69" s="3">
        <v>70</v>
      </c>
    </row>
    <row r="70" spans="8:10" ht="16.5" customHeight="1">
      <c r="H70" s="5" t="s">
        <v>117</v>
      </c>
      <c r="I70" s="5" t="s">
        <v>206</v>
      </c>
      <c r="J70" s="3">
        <v>70</v>
      </c>
    </row>
    <row r="71" spans="8:10" ht="16.5" customHeight="1">
      <c r="H71" s="5" t="s">
        <v>117</v>
      </c>
      <c r="I71" s="5" t="s">
        <v>207</v>
      </c>
      <c r="J71" s="3">
        <v>70</v>
      </c>
    </row>
    <row r="72" spans="8:10" ht="16.5" customHeight="1">
      <c r="H72" s="5" t="s">
        <v>117</v>
      </c>
      <c r="I72" s="5" t="s">
        <v>208</v>
      </c>
      <c r="J72" s="3">
        <v>70</v>
      </c>
    </row>
    <row r="73" spans="8:10" ht="16.5" customHeight="1">
      <c r="H73" s="5" t="s">
        <v>117</v>
      </c>
      <c r="I73" s="5" t="s">
        <v>209</v>
      </c>
      <c r="J73" s="3">
        <v>70</v>
      </c>
    </row>
    <row r="74" spans="8:10" ht="16.5" customHeight="1">
      <c r="H74" s="5" t="s">
        <v>117</v>
      </c>
      <c r="I74" s="5" t="s">
        <v>210</v>
      </c>
      <c r="J74" s="3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NX94"/>
  <sheetViews>
    <sheetView showGridLines="0" zoomScale="115" zoomScaleNormal="115" workbookViewId="0">
      <selection activeCell="K23" sqref="K23"/>
    </sheetView>
  </sheetViews>
  <sheetFormatPr defaultColWidth="35.625" defaultRowHeight="16.5"/>
  <cols>
    <col min="1" max="1" width="1.625" style="25" customWidth="1"/>
    <col min="2" max="2" width="17" style="25" customWidth="1"/>
    <col min="3" max="3" width="7.375" style="25" customWidth="1"/>
    <col min="4" max="4" width="1.625" style="25" customWidth="1"/>
    <col min="5" max="5" width="17" style="25" customWidth="1"/>
    <col min="6" max="6" width="7.375" style="25" customWidth="1"/>
    <col min="7" max="7" width="1.625" style="25" customWidth="1"/>
    <col min="8" max="8" width="17" style="25" customWidth="1"/>
    <col min="9" max="9" width="7.375" style="25" customWidth="1"/>
    <col min="10" max="10" width="1.625" style="25" customWidth="1"/>
    <col min="11" max="11" width="17" style="25" customWidth="1"/>
    <col min="12" max="12" width="10.5" style="25" customWidth="1"/>
    <col min="13" max="13" width="7.375" style="25" customWidth="1"/>
    <col min="14" max="14" width="1.625" style="25" customWidth="1"/>
    <col min="15" max="15" width="17" style="25" customWidth="1"/>
    <col min="16" max="16" width="7.375" style="25" customWidth="1"/>
    <col min="17" max="17" width="1.625" style="25" customWidth="1"/>
    <col min="18" max="18" width="17" style="25" customWidth="1"/>
    <col min="19" max="19" width="22" style="25" customWidth="1"/>
    <col min="20" max="20" width="7.375" style="25" customWidth="1"/>
    <col min="21" max="21" width="1.625" style="25" customWidth="1"/>
    <col min="22" max="22" width="17" style="25" customWidth="1"/>
    <col min="23" max="23" width="7.375" style="25" customWidth="1"/>
    <col min="24" max="24" width="1.625" style="25" customWidth="1"/>
    <col min="25" max="25" width="17" style="25" customWidth="1"/>
    <col min="26" max="26" width="7.375" style="25" customWidth="1"/>
    <col min="27" max="27" width="1.625" style="25" customWidth="1"/>
    <col min="28" max="28" width="17" style="25" customWidth="1"/>
    <col min="29" max="29" width="7.375" style="25" customWidth="1"/>
    <col min="30" max="30" width="1.625" style="25" customWidth="1"/>
    <col min="31" max="31" width="17" style="25" customWidth="1"/>
    <col min="32" max="32" width="7.375" style="25" customWidth="1"/>
    <col min="33" max="33" width="1.625" style="25" customWidth="1"/>
    <col min="34" max="34" width="17" style="25" customWidth="1"/>
    <col min="35" max="35" width="7.375" style="25" customWidth="1"/>
    <col min="36" max="36" width="1.625" style="25" customWidth="1"/>
    <col min="37" max="37" width="17" style="25" customWidth="1"/>
    <col min="38" max="39" width="7.375" style="25" customWidth="1"/>
    <col min="40" max="40" width="1.625" style="25" customWidth="1"/>
    <col min="41" max="41" width="17" style="25" customWidth="1"/>
    <col min="42" max="42" width="10.5" style="25" customWidth="1"/>
    <col min="43" max="43" width="7.375" style="25" customWidth="1"/>
    <col min="44" max="44" width="1.625" style="25" customWidth="1"/>
    <col min="45" max="45" width="17" style="25" customWidth="1"/>
    <col min="46" max="46" width="7.375" style="25" customWidth="1"/>
    <col min="47" max="47" width="1.625" style="25" customWidth="1"/>
    <col min="48" max="48" width="17" style="25" customWidth="1"/>
    <col min="49" max="49" width="30.5" style="25" customWidth="1"/>
    <col min="50" max="50" width="7.375" style="25" customWidth="1"/>
    <col min="51" max="51" width="1.625" style="25" customWidth="1"/>
    <col min="52" max="52" width="17" style="25" customWidth="1"/>
    <col min="53" max="53" width="13.875" style="25" customWidth="1"/>
    <col min="54" max="54" width="7.375" style="25" customWidth="1"/>
    <col min="55" max="55" width="1.625" style="25" customWidth="1"/>
    <col min="56" max="56" width="17" style="25" customWidth="1"/>
    <col min="57" max="57" width="7.375" style="25" customWidth="1"/>
    <col min="58" max="58" width="1.625" style="25" customWidth="1"/>
    <col min="59" max="59" width="17" style="25" customWidth="1"/>
    <col min="60" max="60" width="22" style="25" customWidth="1"/>
    <col min="61" max="61" width="7.375" style="25" customWidth="1"/>
    <col min="62" max="62" width="1.625" style="25" customWidth="1"/>
    <col min="63" max="63" width="17" style="25" customWidth="1"/>
    <col min="64" max="64" width="7.375" style="25" customWidth="1"/>
    <col min="65" max="65" width="1.625" style="25" customWidth="1"/>
    <col min="66" max="66" width="17" style="25" customWidth="1"/>
    <col min="67" max="67" width="7.375" style="25" customWidth="1"/>
    <col min="68" max="68" width="1.625" style="25" customWidth="1"/>
    <col min="69" max="69" width="17" style="25" customWidth="1"/>
    <col min="70" max="70" width="7.375" style="25" customWidth="1"/>
    <col min="71" max="71" width="1.625" style="25" customWidth="1"/>
    <col min="72" max="72" width="17" style="25" customWidth="1"/>
    <col min="73" max="73" width="17.25" style="25" customWidth="1"/>
    <col min="74" max="74" width="39.5" style="25" customWidth="1"/>
    <col min="75" max="75" width="1.625" style="25" customWidth="1"/>
    <col min="76" max="76" width="17" style="25" customWidth="1"/>
    <col min="77" max="77" width="18.375" style="25" customWidth="1"/>
    <col min="78" max="79" width="22.75" style="25" customWidth="1"/>
    <col min="80" max="80" width="23.25" style="25" customWidth="1"/>
    <col min="81" max="81" width="1.625" style="25" customWidth="1"/>
    <col min="82" max="82" width="17" style="25" customWidth="1"/>
    <col min="83" max="83" width="25" style="25" customWidth="1"/>
    <col min="84" max="84" width="1.625" style="25" customWidth="1"/>
    <col min="85" max="85" width="39.5" style="25" customWidth="1"/>
    <col min="86" max="86" width="1.625" style="25" customWidth="1"/>
    <col min="87" max="87" width="17" style="25" customWidth="1"/>
    <col min="88" max="88" width="18.375" style="25" customWidth="1"/>
    <col min="89" max="89" width="23.25" style="25" customWidth="1"/>
    <col min="90" max="90" width="17" style="25" customWidth="1"/>
    <col min="91" max="91" width="1.625" style="25" customWidth="1"/>
    <col min="92" max="92" width="31.625" style="25" customWidth="1"/>
    <col min="93" max="93" width="33.875" style="25" customWidth="1"/>
    <col min="94" max="94" width="22" style="25" customWidth="1"/>
    <col min="95" max="95" width="23.25" style="25" customWidth="1"/>
    <col min="96" max="96" width="1.625" style="25" customWidth="1"/>
    <col min="97" max="97" width="17" style="25" customWidth="1"/>
    <col min="98" max="98" width="21.625" style="25" customWidth="1"/>
    <col min="99" max="99" width="1.625" style="25" customWidth="1"/>
    <col min="100" max="100" width="17" style="25" customWidth="1"/>
    <col min="101" max="101" width="21.625" style="25" customWidth="1"/>
    <col min="102" max="102" width="1.625" style="25" customWidth="1"/>
    <col min="103" max="103" width="27.25" style="25" customWidth="1"/>
    <col min="104" max="104" width="17" style="25" customWidth="1"/>
    <col min="105" max="105" width="24.5" style="25" customWidth="1"/>
    <col min="106" max="106" width="7.375" style="25" customWidth="1"/>
    <col min="107" max="107" width="1.625" style="25" customWidth="1"/>
    <col min="108" max="108" width="15" style="25" customWidth="1"/>
    <col min="109" max="109" width="20.75" style="25" customWidth="1"/>
    <col min="110" max="110" width="17" style="25" customWidth="1"/>
    <col min="111" max="111" width="30.5" style="25" customWidth="1"/>
    <col min="112" max="112" width="24.5" style="25" customWidth="1"/>
    <col min="113" max="113" width="7.375" style="25" customWidth="1"/>
    <col min="114" max="114" width="12" style="25" customWidth="1"/>
    <col min="115" max="115" width="1.625" style="25" customWidth="1"/>
    <col min="116" max="116" width="13.25" style="25" customWidth="1"/>
    <col min="117" max="117" width="17" style="25" customWidth="1"/>
    <col min="118" max="118" width="30.5" style="25" customWidth="1"/>
    <col min="119" max="119" width="24.5" style="25" customWidth="1"/>
    <col min="120" max="120" width="12" style="25" customWidth="1"/>
    <col min="121" max="121" width="1.625" style="25" customWidth="1"/>
    <col min="122" max="122" width="13.25" style="25" customWidth="1"/>
    <col min="123" max="123" width="26.125" style="25" customWidth="1"/>
    <col min="124" max="124" width="17" style="25" customWidth="1"/>
    <col min="125" max="125" width="30.5" style="25" customWidth="1"/>
    <col min="126" max="126" width="24.5" style="25" customWidth="1"/>
    <col min="127" max="127" width="12" style="25" customWidth="1"/>
    <col min="128" max="128" width="1.625" style="25" customWidth="1"/>
    <col min="129" max="129" width="17" style="25" customWidth="1"/>
    <col min="130" max="130" width="30.5" style="25" customWidth="1"/>
    <col min="131" max="131" width="24.5" style="25" customWidth="1"/>
    <col min="132" max="132" width="12" style="25" customWidth="1"/>
    <col min="133" max="133" width="1.625" style="25" customWidth="1"/>
    <col min="134" max="134" width="19.5" style="25" customWidth="1"/>
    <col min="135" max="135" width="17" style="25" customWidth="1"/>
    <col min="136" max="136" width="30.5" style="25" customWidth="1"/>
    <col min="137" max="137" width="24.5" style="25" customWidth="1"/>
    <col min="138" max="138" width="12" style="25" customWidth="1"/>
    <col min="139" max="139" width="1.625" style="25" customWidth="1"/>
    <col min="140" max="140" width="12.75" style="25" customWidth="1"/>
    <col min="141" max="141" width="19.5" style="25" customWidth="1"/>
    <col min="142" max="142" width="17" style="25" customWidth="1"/>
    <col min="143" max="143" width="30.5" style="25" customWidth="1"/>
    <col min="144" max="144" width="24.5" style="25" customWidth="1"/>
    <col min="145" max="145" width="7.375" style="25" customWidth="1"/>
    <col min="146" max="146" width="12" style="25" customWidth="1"/>
    <col min="147" max="147" width="1.625" style="25" customWidth="1"/>
    <col min="148" max="148" width="19.5" style="25" customWidth="1"/>
    <col min="149" max="149" width="17" style="25" customWidth="1"/>
    <col min="150" max="150" width="12" style="25" customWidth="1"/>
    <col min="151" max="151" width="30.5" style="25" customWidth="1"/>
    <col min="152" max="152" width="24.5" style="25" customWidth="1"/>
    <col min="153" max="153" width="12" style="25" customWidth="1"/>
    <col min="154" max="154" width="1.625" style="25" customWidth="1"/>
    <col min="155" max="155" width="19.5" style="25" customWidth="1"/>
    <col min="156" max="156" width="17" style="25" customWidth="1"/>
    <col min="157" max="157" width="30.5" style="25" customWidth="1"/>
    <col min="158" max="158" width="24.5" style="25" customWidth="1"/>
    <col min="159" max="159" width="12" style="25" customWidth="1"/>
    <col min="160" max="160" width="1.625" style="25" customWidth="1"/>
    <col min="161" max="161" width="34.5" style="25" customWidth="1"/>
    <col min="162" max="162" width="1.625" style="25" customWidth="1"/>
    <col min="163" max="163" width="21.625" style="25" customWidth="1"/>
    <col min="164" max="164" width="27" style="25" customWidth="1"/>
    <col min="165" max="165" width="13.875" style="25" customWidth="1"/>
    <col min="166" max="166" width="17" style="25" customWidth="1"/>
    <col min="167" max="167" width="16.125" style="25" customWidth="1"/>
    <col min="168" max="168" width="12" style="25" customWidth="1"/>
    <col min="169" max="169" width="1.625" style="25" customWidth="1"/>
    <col min="170" max="170" width="32.75" style="25" customWidth="1"/>
    <col min="171" max="171" width="1.625" style="25" customWidth="1"/>
    <col min="172" max="172" width="17" style="25" customWidth="1"/>
    <col min="173" max="173" width="31.625" style="25" customWidth="1"/>
    <col min="174" max="174" width="1.625" style="25" customWidth="1"/>
    <col min="175" max="176" width="14.5" style="25" customWidth="1"/>
    <col min="177" max="177" width="1.625" style="25" customWidth="1"/>
    <col min="178" max="178" width="21.625" style="25" customWidth="1"/>
    <col min="179" max="179" width="22" style="25" customWidth="1"/>
    <col min="180" max="180" width="17" style="25" customWidth="1"/>
    <col min="181" max="181" width="1.625" style="25" customWidth="1"/>
    <col min="182" max="182" width="30.75" style="25" customWidth="1"/>
    <col min="183" max="183" width="1.625" style="25" customWidth="1"/>
    <col min="184" max="185" width="17" style="25" customWidth="1"/>
    <col min="186" max="186" width="10.75" style="25" customWidth="1"/>
    <col min="187" max="187" width="1.625" style="25" customWidth="1"/>
    <col min="188" max="188" width="22" style="25" customWidth="1"/>
    <col min="189" max="189" width="1.625" style="25" customWidth="1"/>
    <col min="190" max="190" width="18.25" style="25" customWidth="1"/>
    <col min="191" max="191" width="1.625" style="25" customWidth="1"/>
    <col min="192" max="192" width="38.25" style="25" customWidth="1"/>
    <col min="193" max="193" width="1.625" style="25" customWidth="1"/>
    <col min="194" max="194" width="10.75" style="25" customWidth="1"/>
    <col min="195" max="195" width="1.625" style="25" customWidth="1"/>
    <col min="196" max="196" width="17" style="25" customWidth="1"/>
    <col min="197" max="197" width="12" style="25" customWidth="1"/>
    <col min="198" max="198" width="29.375" style="25" customWidth="1"/>
    <col min="199" max="199" width="1.625" style="25" customWidth="1"/>
    <col min="200" max="200" width="20.75" style="25" customWidth="1"/>
    <col min="201" max="201" width="1.625" style="25" customWidth="1"/>
    <col min="202" max="202" width="14.5" style="25" customWidth="1"/>
    <col min="203" max="203" width="16.125" style="25" customWidth="1"/>
    <col min="204" max="204" width="12" style="25" customWidth="1"/>
    <col min="205" max="205" width="32.75" style="25" customWidth="1"/>
    <col min="206" max="206" width="1.625" style="25" customWidth="1"/>
    <col min="207" max="207" width="17" style="25" customWidth="1"/>
    <col min="208" max="208" width="22" style="25" customWidth="1"/>
    <col min="209" max="209" width="15.75" style="25" customWidth="1"/>
    <col min="210" max="210" width="18.25" style="25" customWidth="1"/>
    <col min="211" max="211" width="12" style="25" customWidth="1"/>
    <col min="212" max="212" width="1.625" style="25" customWidth="1"/>
    <col min="213" max="213" width="17" style="25" customWidth="1"/>
    <col min="214" max="214" width="22" style="25" customWidth="1"/>
    <col min="215" max="215" width="15.75" style="25" customWidth="1"/>
    <col min="216" max="216" width="18.25" style="25" customWidth="1"/>
    <col min="217" max="217" width="12" style="25" customWidth="1"/>
    <col min="218" max="218" width="1.625" style="25" customWidth="1"/>
    <col min="219" max="219" width="17" style="25" customWidth="1"/>
    <col min="220" max="220" width="15.75" style="25" customWidth="1"/>
    <col min="221" max="221" width="18.25" style="25" customWidth="1"/>
    <col min="222" max="222" width="12" style="25" customWidth="1"/>
    <col min="223" max="223" width="1.625" style="25" customWidth="1"/>
    <col min="224" max="224" width="17" style="25" customWidth="1"/>
    <col min="225" max="225" width="22" style="25" customWidth="1"/>
    <col min="226" max="226" width="15.75" style="25" customWidth="1"/>
    <col min="227" max="227" width="18.25" style="25" customWidth="1"/>
    <col min="228" max="228" width="12" style="25" customWidth="1"/>
    <col min="229" max="229" width="1.625" style="25" customWidth="1"/>
    <col min="230" max="230" width="17" style="25" customWidth="1"/>
    <col min="231" max="231" width="32.75" style="25" customWidth="1"/>
    <col min="232" max="232" width="15.75" style="25" customWidth="1"/>
    <col min="233" max="233" width="18.25" style="25" customWidth="1"/>
    <col min="234" max="234" width="12" style="25" customWidth="1"/>
    <col min="235" max="235" width="1.625" style="25" customWidth="1"/>
    <col min="236" max="236" width="17" style="25" customWidth="1"/>
    <col min="237" max="237" width="22" style="25" customWidth="1"/>
    <col min="238" max="238" width="15.75" style="25" customWidth="1"/>
    <col min="239" max="239" width="18.25" style="25" customWidth="1"/>
    <col min="240" max="240" width="12" style="25" customWidth="1"/>
    <col min="241" max="241" width="1.625" style="25" customWidth="1"/>
    <col min="242" max="242" width="17" style="25" customWidth="1"/>
    <col min="243" max="243" width="22" style="25" customWidth="1"/>
    <col min="244" max="244" width="15.75" style="25" customWidth="1"/>
    <col min="245" max="245" width="18.25" style="25" customWidth="1"/>
    <col min="246" max="246" width="12" style="25" customWidth="1"/>
    <col min="247" max="247" width="1.625" style="25" customWidth="1"/>
    <col min="248" max="248" width="17" style="25" customWidth="1"/>
    <col min="249" max="249" width="28.25" style="25" customWidth="1"/>
    <col min="250" max="250" width="15.75" style="25" customWidth="1"/>
    <col min="251" max="251" width="18.25" style="25" customWidth="1"/>
    <col min="252" max="252" width="12" style="25" customWidth="1"/>
    <col min="253" max="253" width="1.625" style="25" customWidth="1"/>
    <col min="254" max="254" width="17" style="25" customWidth="1"/>
    <col min="255" max="255" width="22" style="25" customWidth="1"/>
    <col min="256" max="256" width="15.75" style="25" customWidth="1"/>
    <col min="257" max="257" width="18.25" style="25" customWidth="1"/>
    <col min="258" max="258" width="12" style="25" customWidth="1"/>
    <col min="259" max="259" width="1.625" style="25" customWidth="1"/>
    <col min="260" max="260" width="17" style="25" customWidth="1"/>
    <col min="261" max="261" width="22" style="25" customWidth="1"/>
    <col min="262" max="262" width="15.75" style="25" customWidth="1"/>
    <col min="263" max="263" width="18.25" style="25" customWidth="1"/>
    <col min="264" max="264" width="12" style="25" customWidth="1"/>
    <col min="265" max="265" width="1.625" style="25" customWidth="1"/>
    <col min="266" max="266" width="17" style="25" customWidth="1"/>
    <col min="267" max="267" width="28.25" style="25" customWidth="1"/>
    <col min="268" max="268" width="15.75" style="25" customWidth="1"/>
    <col min="269" max="269" width="18.25" style="25" customWidth="1"/>
    <col min="270" max="270" width="12" style="25" customWidth="1"/>
    <col min="271" max="271" width="1.625" style="25" customWidth="1"/>
    <col min="272" max="272" width="17" style="25" customWidth="1"/>
    <col min="273" max="273" width="12.75" style="25" customWidth="1"/>
    <col min="274" max="274" width="1.625" style="25" customWidth="1"/>
    <col min="275" max="275" width="17" style="25" customWidth="1"/>
    <col min="276" max="276" width="15.75" style="25" customWidth="1"/>
    <col min="277" max="277" width="18.25" style="25" customWidth="1"/>
    <col min="278" max="278" width="12" style="25" customWidth="1"/>
    <col min="279" max="279" width="1.625" style="25" customWidth="1"/>
    <col min="280" max="280" width="28.25" style="25" customWidth="1"/>
    <col min="281" max="281" width="1.625" style="25" customWidth="1"/>
    <col min="282" max="282" width="28.25" style="25" customWidth="1"/>
    <col min="283" max="283" width="1.625" style="25" customWidth="1"/>
    <col min="284" max="284" width="42" style="25" customWidth="1"/>
    <col min="285" max="285" width="1.625" style="25" customWidth="1"/>
    <col min="286" max="286" width="27" style="25" customWidth="1"/>
    <col min="287" max="287" width="1.625" style="25" customWidth="1"/>
    <col min="288" max="288" width="17" style="25" customWidth="1"/>
    <col min="289" max="289" width="27.25" style="25" customWidth="1"/>
    <col min="290" max="290" width="1.625" style="25" customWidth="1"/>
    <col min="291" max="291" width="20.75" style="25" customWidth="1"/>
    <col min="292" max="292" width="1.625" style="25" customWidth="1"/>
    <col min="293" max="293" width="27" style="25" customWidth="1"/>
    <col min="294" max="294" width="1.625" style="25" customWidth="1"/>
    <col min="295" max="295" width="38.25" style="25" customWidth="1"/>
    <col min="296" max="296" width="1.625" style="25" customWidth="1"/>
    <col min="297" max="297" width="35.75" style="25" customWidth="1"/>
    <col min="298" max="298" width="1.625" style="25" customWidth="1"/>
    <col min="299" max="299" width="22" style="25" customWidth="1"/>
    <col min="300" max="300" width="1.625" style="25" customWidth="1"/>
    <col min="301" max="301" width="23.25" style="25" customWidth="1"/>
    <col min="302" max="302" width="1.625" style="25" customWidth="1"/>
    <col min="303" max="303" width="32" style="25" customWidth="1"/>
    <col min="304" max="304" width="1.625" style="25" customWidth="1"/>
    <col min="305" max="305" width="28.25" style="25" customWidth="1"/>
    <col min="306" max="306" width="1.625" style="25" customWidth="1"/>
    <col min="307" max="307" width="32" style="25" customWidth="1"/>
    <col min="308" max="308" width="6.375" style="25" customWidth="1"/>
    <col min="309" max="309" width="1.625" style="25" customWidth="1"/>
    <col min="310" max="310" width="20.75" style="25" customWidth="1"/>
    <col min="311" max="311" width="1.625" style="25" customWidth="1"/>
    <col min="312" max="312" width="35.75" style="25" customWidth="1"/>
    <col min="313" max="313" width="1.625" style="25" customWidth="1"/>
    <col min="314" max="314" width="22.75" style="25" customWidth="1"/>
    <col min="315" max="315" width="1.625" style="25" customWidth="1"/>
    <col min="316" max="316" width="20.5" style="25" customWidth="1"/>
    <col min="317" max="317" width="13.875" style="25" customWidth="1"/>
    <col min="318" max="318" width="22" style="25" customWidth="1"/>
    <col min="319" max="319" width="29.5" style="25" customWidth="1"/>
    <col min="320" max="320" width="1.625" style="25" customWidth="1"/>
    <col min="321" max="321" width="17" style="25" customWidth="1"/>
    <col min="322" max="322" width="20.5" style="25" customWidth="1"/>
    <col min="323" max="323" width="12" style="25" customWidth="1"/>
    <col min="324" max="324" width="21.625" style="25" customWidth="1"/>
    <col min="325" max="325" width="1.625" style="25" customWidth="1"/>
    <col min="326" max="326" width="17" style="25" customWidth="1"/>
    <col min="327" max="327" width="32.75" style="25" customWidth="1"/>
    <col min="328" max="328" width="12" style="25" customWidth="1"/>
    <col min="329" max="329" width="37.125" style="25" customWidth="1"/>
    <col min="330" max="330" width="1.625" style="25" customWidth="1"/>
    <col min="331" max="331" width="17" style="25" customWidth="1"/>
    <col min="332" max="333" width="21.625" style="25" customWidth="1"/>
    <col min="334" max="334" width="12" style="25" customWidth="1"/>
    <col min="335" max="335" width="28.25" style="25" customWidth="1"/>
    <col min="336" max="336" width="1.625" style="25" customWidth="1"/>
    <col min="337" max="337" width="17" style="25" customWidth="1"/>
    <col min="338" max="338" width="12" style="25" customWidth="1"/>
    <col min="339" max="339" width="28.25" style="25" customWidth="1"/>
    <col min="340" max="340" width="1.625" style="25" customWidth="1"/>
    <col min="341" max="341" width="17" style="25" customWidth="1"/>
    <col min="342" max="342" width="14.5" style="25" customWidth="1"/>
    <col min="343" max="343" width="17" style="25" customWidth="1"/>
    <col min="344" max="344" width="12" style="25" customWidth="1"/>
    <col min="345" max="345" width="28.25" style="25" customWidth="1"/>
    <col min="346" max="346" width="1.625" style="25" customWidth="1"/>
    <col min="347" max="347" width="25.75" style="25" customWidth="1"/>
    <col min="348" max="348" width="12" style="25" customWidth="1"/>
    <col min="349" max="349" width="1.625" style="25" customWidth="1"/>
    <col min="350" max="350" width="17" style="25" customWidth="1"/>
    <col min="351" max="351" width="16.125" style="25" customWidth="1"/>
    <col min="352" max="352" width="12" style="25" customWidth="1"/>
    <col min="353" max="353" width="7.5" style="25" customWidth="1"/>
    <col min="354" max="354" width="1.625" style="25" customWidth="1"/>
    <col min="355" max="355" width="17" style="25" customWidth="1"/>
    <col min="356" max="356" width="12" style="25" customWidth="1"/>
    <col min="357" max="357" width="1.625" style="25" customWidth="1"/>
    <col min="358" max="358" width="17" style="25" customWidth="1"/>
    <col min="359" max="359" width="12" style="25" customWidth="1"/>
    <col min="360" max="360" width="14.5" style="25" customWidth="1"/>
    <col min="361" max="361" width="1.625" style="25" customWidth="1"/>
    <col min="362" max="362" width="28.25" style="25" customWidth="1"/>
    <col min="363" max="363" width="12" style="25" customWidth="1"/>
    <col min="364" max="364" width="1.625" style="25" customWidth="1"/>
    <col min="365" max="365" width="17" style="25" customWidth="1"/>
    <col min="366" max="366" width="12" style="25" customWidth="1"/>
    <col min="367" max="367" width="1.625" style="25" customWidth="1"/>
    <col min="368" max="368" width="17" style="25" customWidth="1"/>
    <col min="369" max="369" width="18.375" style="25" customWidth="1"/>
    <col min="370" max="370" width="17.25" style="25" customWidth="1"/>
    <col min="371" max="371" width="15.75" style="25" customWidth="1"/>
    <col min="372" max="372" width="1.625" style="25" customWidth="1"/>
    <col min="373" max="373" width="17" style="25" customWidth="1"/>
    <col min="374" max="374" width="22.75" style="25" customWidth="1"/>
    <col min="375" max="375" width="12" style="25" customWidth="1"/>
    <col min="376" max="376" width="1.625" style="25" customWidth="1"/>
    <col min="377" max="377" width="17" style="25" customWidth="1"/>
    <col min="378" max="378" width="12" style="25" customWidth="1"/>
    <col min="379" max="379" width="1.625" style="25" customWidth="1"/>
    <col min="380" max="380" width="17" style="25" customWidth="1"/>
    <col min="381" max="381" width="12" style="25" customWidth="1"/>
    <col min="382" max="382" width="1.625" style="25" customWidth="1"/>
    <col min="383" max="383" width="17" style="25" customWidth="1"/>
    <col min="384" max="384" width="12" style="25" customWidth="1"/>
    <col min="385" max="385" width="1.625" style="25" customWidth="1"/>
    <col min="386" max="386" width="17" style="25" customWidth="1"/>
    <col min="387" max="387" width="15.75" style="25" customWidth="1"/>
    <col min="388" max="388" width="12" style="25" customWidth="1"/>
    <col min="389" max="389" width="1.625" style="25" customWidth="1"/>
    <col min="390" max="392" width="35.625" style="25" customWidth="1"/>
    <col min="393" max="16384" width="35.625" style="25"/>
  </cols>
  <sheetData>
    <row r="1" spans="1:388" s="28" customFormat="1" ht="9.75" customHeight="1">
      <c r="A1" s="26"/>
      <c r="B1" s="27" t="s">
        <v>211</v>
      </c>
      <c r="BV1" s="29" t="s">
        <v>212</v>
      </c>
    </row>
    <row r="2" spans="1:388" s="28" customFormat="1" ht="39.75" customHeight="1">
      <c r="B2" s="82" t="s">
        <v>129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4"/>
      <c r="BT2" s="82" t="s">
        <v>141</v>
      </c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4"/>
      <c r="CS2" s="82" t="s">
        <v>213</v>
      </c>
      <c r="CT2" s="83"/>
      <c r="CU2" s="83"/>
      <c r="CV2" s="83"/>
      <c r="CW2" s="84"/>
      <c r="CY2" s="87" t="s">
        <v>99</v>
      </c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N2" s="82" t="s">
        <v>147</v>
      </c>
      <c r="FO2" s="83"/>
      <c r="FP2" s="83"/>
      <c r="FQ2" s="83"/>
      <c r="FR2" s="83"/>
      <c r="FS2" s="83"/>
      <c r="FT2" s="83"/>
      <c r="FU2" s="83"/>
      <c r="FV2" s="83"/>
      <c r="FW2" s="83"/>
      <c r="FX2" s="83"/>
      <c r="FY2" s="83"/>
      <c r="FZ2" s="83"/>
      <c r="GA2" s="83"/>
      <c r="GB2" s="83"/>
      <c r="GC2" s="83"/>
      <c r="GD2" s="83"/>
      <c r="GE2" s="83"/>
      <c r="GF2" s="83"/>
      <c r="GG2" s="83"/>
      <c r="GH2" s="83"/>
      <c r="GI2" s="83"/>
      <c r="GJ2" s="83"/>
      <c r="GK2" s="83"/>
      <c r="GL2" s="84"/>
      <c r="GN2" s="82" t="s">
        <v>145</v>
      </c>
      <c r="GO2" s="83"/>
      <c r="GP2" s="83"/>
      <c r="GQ2" s="83"/>
      <c r="GR2" s="83"/>
      <c r="GS2" s="83"/>
      <c r="GT2" s="83"/>
      <c r="GU2" s="83"/>
      <c r="GV2" s="83"/>
      <c r="GW2" s="84"/>
      <c r="GY2" s="82" t="s">
        <v>139</v>
      </c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  <c r="HZ2" s="83"/>
      <c r="IA2" s="83"/>
      <c r="IB2" s="83"/>
      <c r="IC2" s="83"/>
      <c r="ID2" s="83"/>
      <c r="IE2" s="83"/>
      <c r="IF2" s="83"/>
      <c r="IG2" s="83"/>
      <c r="IH2" s="83"/>
      <c r="II2" s="83"/>
      <c r="IJ2" s="83"/>
      <c r="IK2" s="83"/>
      <c r="IL2" s="83"/>
      <c r="IM2" s="83"/>
      <c r="IN2" s="83"/>
      <c r="IO2" s="83"/>
      <c r="IP2" s="83"/>
      <c r="IQ2" s="83"/>
      <c r="IR2" s="83"/>
      <c r="IS2" s="83"/>
      <c r="IT2" s="83"/>
      <c r="IU2" s="83"/>
      <c r="IV2" s="83"/>
      <c r="IW2" s="83"/>
      <c r="IX2" s="83"/>
      <c r="IY2" s="83"/>
      <c r="IZ2" s="83"/>
      <c r="JA2" s="83"/>
      <c r="JB2" s="83"/>
      <c r="JC2" s="83"/>
      <c r="JD2" s="83"/>
      <c r="JE2" s="83"/>
      <c r="JF2" s="83"/>
      <c r="JG2" s="83"/>
      <c r="JH2" s="83"/>
      <c r="JI2" s="83"/>
      <c r="JJ2" s="83"/>
      <c r="JK2" s="83"/>
      <c r="JL2" s="83"/>
      <c r="JM2" s="83"/>
      <c r="JN2" s="83"/>
      <c r="JO2" s="83"/>
      <c r="JP2" s="83"/>
      <c r="JQ2" s="83"/>
      <c r="JR2" s="84"/>
      <c r="JT2" s="82" t="s">
        <v>124</v>
      </c>
      <c r="JU2" s="83"/>
      <c r="JV2" s="83"/>
      <c r="JW2" s="83"/>
      <c r="JX2" s="83"/>
      <c r="JY2" s="83"/>
      <c r="JZ2" s="83"/>
      <c r="KA2" s="83"/>
      <c r="KB2" s="83"/>
      <c r="KC2" s="83"/>
      <c r="KD2" s="83"/>
      <c r="KE2" s="83"/>
      <c r="KF2" s="83"/>
      <c r="KG2" s="83"/>
      <c r="KH2" s="83"/>
      <c r="KI2" s="83"/>
      <c r="KJ2" s="83"/>
      <c r="KK2" s="83"/>
      <c r="KL2" s="83"/>
      <c r="KM2" s="83"/>
      <c r="KN2" s="83"/>
      <c r="KO2" s="83"/>
      <c r="KP2" s="83"/>
      <c r="KQ2" s="83"/>
      <c r="KR2" s="83"/>
      <c r="KS2" s="83"/>
      <c r="KT2" s="83"/>
      <c r="KU2" s="83"/>
      <c r="KV2" s="83"/>
      <c r="KW2" s="83"/>
      <c r="KX2" s="83"/>
      <c r="KY2" s="83"/>
      <c r="KZ2" s="84"/>
      <c r="LB2" s="82" t="s">
        <v>214</v>
      </c>
      <c r="LC2" s="83"/>
      <c r="LD2" s="83"/>
      <c r="LE2" s="83"/>
      <c r="LF2" s="83"/>
      <c r="LG2" s="84"/>
      <c r="LI2" s="87" t="s">
        <v>117</v>
      </c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  <c r="LU2" s="88"/>
      <c r="LV2" s="88"/>
      <c r="LW2" s="88"/>
      <c r="LX2" s="88"/>
      <c r="LY2" s="88"/>
      <c r="LZ2" s="88"/>
      <c r="MA2" s="88"/>
      <c r="MB2" s="88"/>
      <c r="MC2" s="88"/>
      <c r="MD2" s="88"/>
      <c r="ME2" s="88"/>
      <c r="MF2" s="88"/>
      <c r="MG2" s="88"/>
      <c r="MH2" s="88"/>
      <c r="MI2" s="88"/>
      <c r="MJ2" s="88"/>
      <c r="MK2" s="88"/>
      <c r="ML2" s="88"/>
      <c r="MM2" s="88"/>
      <c r="MN2" s="88"/>
      <c r="MO2" s="88"/>
      <c r="MP2" s="88"/>
      <c r="MQ2" s="88"/>
      <c r="MR2" s="88"/>
      <c r="MS2" s="88"/>
      <c r="MT2" s="88"/>
      <c r="MU2" s="88"/>
      <c r="MV2" s="88"/>
      <c r="MW2" s="88"/>
      <c r="MX2" s="88"/>
      <c r="MY2" s="88"/>
      <c r="NA2" s="82" t="s">
        <v>143</v>
      </c>
      <c r="NB2" s="83"/>
      <c r="NC2" s="83"/>
      <c r="ND2" s="83"/>
      <c r="NE2" s="83"/>
      <c r="NF2" s="83"/>
      <c r="NG2" s="83"/>
      <c r="NH2" s="83"/>
      <c r="NI2" s="83"/>
      <c r="NJ2" s="83"/>
      <c r="NK2" s="83"/>
      <c r="NL2" s="83"/>
      <c r="NM2" s="83"/>
      <c r="NN2" s="83"/>
      <c r="NO2" s="83"/>
      <c r="NP2" s="83"/>
      <c r="NQ2" s="83"/>
      <c r="NR2" s="83"/>
      <c r="NS2" s="83"/>
      <c r="NT2" s="83"/>
      <c r="NU2" s="83"/>
      <c r="NV2" s="83"/>
      <c r="NW2" s="83"/>
      <c r="NX2" s="84"/>
    </row>
    <row r="3" spans="1:388" s="28" customFormat="1" ht="9.75" customHeight="1">
      <c r="JO3" s="30"/>
      <c r="JP3" s="30"/>
      <c r="JQ3" s="30"/>
      <c r="JR3" s="30"/>
    </row>
    <row r="4" spans="1:388" s="31" customFormat="1" ht="24.75" customHeight="1">
      <c r="B4" s="85" t="s">
        <v>215</v>
      </c>
      <c r="C4" s="84"/>
      <c r="E4" s="85" t="s">
        <v>216</v>
      </c>
      <c r="F4" s="84"/>
      <c r="H4" s="85" t="s">
        <v>217</v>
      </c>
      <c r="I4" s="84"/>
      <c r="K4" s="86" t="s">
        <v>218</v>
      </c>
      <c r="L4" s="83"/>
      <c r="M4" s="84"/>
      <c r="O4" s="86" t="s">
        <v>219</v>
      </c>
      <c r="P4" s="84"/>
      <c r="R4" s="86" t="s">
        <v>220</v>
      </c>
      <c r="S4" s="83"/>
      <c r="T4" s="84"/>
      <c r="V4" s="86" t="s">
        <v>221</v>
      </c>
      <c r="W4" s="84"/>
      <c r="Y4" s="86" t="s">
        <v>222</v>
      </c>
      <c r="Z4" s="84"/>
      <c r="AB4" s="86" t="s">
        <v>223</v>
      </c>
      <c r="AC4" s="84"/>
      <c r="AE4" s="85" t="s">
        <v>224</v>
      </c>
      <c r="AF4" s="84"/>
      <c r="AH4" s="86" t="s">
        <v>225</v>
      </c>
      <c r="AI4" s="84"/>
      <c r="AK4" s="86" t="s">
        <v>226</v>
      </c>
      <c r="AL4" s="83"/>
      <c r="AM4" s="84"/>
      <c r="AO4" s="86" t="s">
        <v>227</v>
      </c>
      <c r="AP4" s="83"/>
      <c r="AQ4" s="84"/>
      <c r="AS4" s="85" t="s">
        <v>228</v>
      </c>
      <c r="AT4" s="84"/>
      <c r="AV4" s="86" t="s">
        <v>229</v>
      </c>
      <c r="AW4" s="83"/>
      <c r="AX4" s="84"/>
      <c r="AZ4" s="85" t="s">
        <v>230</v>
      </c>
      <c r="BA4" s="83"/>
      <c r="BB4" s="84"/>
      <c r="BD4" s="86" t="s">
        <v>231</v>
      </c>
      <c r="BE4" s="84"/>
      <c r="BG4" s="86" t="s">
        <v>232</v>
      </c>
      <c r="BH4" s="83"/>
      <c r="BI4" s="84"/>
      <c r="BK4" s="86" t="s">
        <v>233</v>
      </c>
      <c r="BL4" s="84"/>
      <c r="BN4" s="86" t="s">
        <v>234</v>
      </c>
      <c r="BO4" s="84"/>
      <c r="BQ4" s="85" t="s">
        <v>235</v>
      </c>
      <c r="BR4" s="84"/>
      <c r="BT4" s="86" t="s">
        <v>236</v>
      </c>
      <c r="BU4" s="83"/>
      <c r="BV4" s="84"/>
      <c r="BX4" s="86" t="s">
        <v>237</v>
      </c>
      <c r="BY4" s="83"/>
      <c r="BZ4" s="83"/>
      <c r="CA4" s="83"/>
      <c r="CB4" s="84"/>
      <c r="CD4" s="86" t="s">
        <v>238</v>
      </c>
      <c r="CE4" s="84"/>
      <c r="CG4" s="34" t="s">
        <v>239</v>
      </c>
      <c r="CI4" s="86" t="s">
        <v>240</v>
      </c>
      <c r="CJ4" s="83"/>
      <c r="CK4" s="83"/>
      <c r="CL4" s="84"/>
      <c r="CN4" s="86" t="s">
        <v>241</v>
      </c>
      <c r="CO4" s="83"/>
      <c r="CP4" s="83"/>
      <c r="CQ4" s="84"/>
      <c r="CS4" s="86" t="s">
        <v>242</v>
      </c>
      <c r="CT4" s="84"/>
      <c r="CV4" s="86" t="s">
        <v>243</v>
      </c>
      <c r="CW4" s="84"/>
      <c r="CY4" s="86" t="s">
        <v>244</v>
      </c>
      <c r="CZ4" s="83"/>
      <c r="DA4" s="83"/>
      <c r="DB4" s="84"/>
      <c r="DC4" s="35"/>
      <c r="DD4" s="89" t="s">
        <v>245</v>
      </c>
      <c r="DE4" s="90"/>
      <c r="DF4" s="90"/>
      <c r="DG4" s="90"/>
      <c r="DH4" s="90"/>
      <c r="DI4" s="90"/>
      <c r="DJ4" s="90"/>
      <c r="DK4" s="35"/>
      <c r="DL4" s="89" t="s">
        <v>246</v>
      </c>
      <c r="DM4" s="90"/>
      <c r="DN4" s="90"/>
      <c r="DO4" s="90"/>
      <c r="DP4" s="90"/>
      <c r="DQ4" s="35"/>
      <c r="DR4" s="89" t="s">
        <v>247</v>
      </c>
      <c r="DS4" s="90"/>
      <c r="DT4" s="90"/>
      <c r="DU4" s="90"/>
      <c r="DV4" s="90"/>
      <c r="DW4" s="90"/>
      <c r="DX4" s="35"/>
      <c r="DY4" s="89" t="s">
        <v>248</v>
      </c>
      <c r="DZ4" s="90"/>
      <c r="EA4" s="90"/>
      <c r="EB4" s="90"/>
      <c r="EC4" s="35"/>
      <c r="ED4" s="86" t="s">
        <v>249</v>
      </c>
      <c r="EE4" s="83"/>
      <c r="EF4" s="83"/>
      <c r="EG4" s="83"/>
      <c r="EH4" s="84"/>
      <c r="EI4" s="35"/>
      <c r="EJ4" s="89" t="s">
        <v>250</v>
      </c>
      <c r="EK4" s="90"/>
      <c r="EL4" s="90"/>
      <c r="EM4" s="90"/>
      <c r="EN4" s="90"/>
      <c r="EO4" s="90"/>
      <c r="EP4" s="90"/>
      <c r="EQ4" s="35"/>
      <c r="ER4" s="89" t="s">
        <v>251</v>
      </c>
      <c r="ES4" s="90"/>
      <c r="ET4" s="90"/>
      <c r="EU4" s="90"/>
      <c r="EV4" s="90"/>
      <c r="EW4" s="90"/>
      <c r="EX4" s="35"/>
      <c r="EY4" s="89" t="s">
        <v>252</v>
      </c>
      <c r="EZ4" s="90"/>
      <c r="FA4" s="90"/>
      <c r="FB4" s="90"/>
      <c r="FC4" s="90"/>
      <c r="FD4" s="35"/>
      <c r="FE4" s="36" t="s">
        <v>253</v>
      </c>
      <c r="FF4" s="35"/>
      <c r="FG4" s="89" t="s">
        <v>254</v>
      </c>
      <c r="FH4" s="90"/>
      <c r="FI4" s="90"/>
      <c r="FJ4" s="90"/>
      <c r="FK4" s="90"/>
      <c r="FL4" s="90"/>
      <c r="FN4" s="33" t="s">
        <v>255</v>
      </c>
      <c r="FP4" s="86" t="s">
        <v>256</v>
      </c>
      <c r="FQ4" s="84"/>
      <c r="FS4" s="86" t="s">
        <v>257</v>
      </c>
      <c r="FT4" s="84"/>
      <c r="FV4" s="86" t="s">
        <v>258</v>
      </c>
      <c r="FW4" s="83"/>
      <c r="FX4" s="84"/>
      <c r="FZ4" s="33" t="s">
        <v>259</v>
      </c>
      <c r="GB4" s="86" t="s">
        <v>260</v>
      </c>
      <c r="GC4" s="83"/>
      <c r="GD4" s="84"/>
      <c r="GF4" s="33" t="s">
        <v>261</v>
      </c>
      <c r="GH4" s="33" t="s">
        <v>262</v>
      </c>
      <c r="GJ4" s="33" t="s">
        <v>263</v>
      </c>
      <c r="GL4" s="33" t="s">
        <v>264</v>
      </c>
      <c r="GN4" s="86" t="s">
        <v>265</v>
      </c>
      <c r="GO4" s="83"/>
      <c r="GP4" s="84"/>
      <c r="GR4" s="33" t="s">
        <v>266</v>
      </c>
      <c r="GT4" s="86" t="s">
        <v>267</v>
      </c>
      <c r="GU4" s="83"/>
      <c r="GV4" s="83"/>
      <c r="GW4" s="84"/>
      <c r="GY4" s="91" t="s">
        <v>268</v>
      </c>
      <c r="GZ4" s="92"/>
      <c r="HA4" s="92"/>
      <c r="HB4" s="92"/>
      <c r="HC4" s="93"/>
      <c r="HE4" s="86" t="s">
        <v>269</v>
      </c>
      <c r="HF4" s="83"/>
      <c r="HG4" s="83"/>
      <c r="HH4" s="83"/>
      <c r="HI4" s="84"/>
      <c r="HK4" s="86" t="s">
        <v>270</v>
      </c>
      <c r="HL4" s="83"/>
      <c r="HM4" s="83"/>
      <c r="HN4" s="84"/>
      <c r="HP4" s="86" t="s">
        <v>271</v>
      </c>
      <c r="HQ4" s="83"/>
      <c r="HR4" s="83"/>
      <c r="HS4" s="83"/>
      <c r="HT4" s="84"/>
      <c r="HV4" s="86" t="s">
        <v>272</v>
      </c>
      <c r="HW4" s="83"/>
      <c r="HX4" s="83"/>
      <c r="HY4" s="83"/>
      <c r="HZ4" s="84"/>
      <c r="IB4" s="86" t="s">
        <v>273</v>
      </c>
      <c r="IC4" s="83"/>
      <c r="ID4" s="83"/>
      <c r="IE4" s="83"/>
      <c r="IF4" s="84"/>
      <c r="IH4" s="86" t="s">
        <v>274</v>
      </c>
      <c r="II4" s="83"/>
      <c r="IJ4" s="83"/>
      <c r="IK4" s="83"/>
      <c r="IL4" s="84"/>
      <c r="IN4" s="86" t="s">
        <v>275</v>
      </c>
      <c r="IO4" s="83"/>
      <c r="IP4" s="83"/>
      <c r="IQ4" s="83"/>
      <c r="IR4" s="84"/>
      <c r="IT4" s="86" t="s">
        <v>276</v>
      </c>
      <c r="IU4" s="83"/>
      <c r="IV4" s="83"/>
      <c r="IW4" s="83"/>
      <c r="IX4" s="84"/>
      <c r="IZ4" s="86" t="s">
        <v>277</v>
      </c>
      <c r="JA4" s="83"/>
      <c r="JB4" s="83"/>
      <c r="JC4" s="83"/>
      <c r="JD4" s="84"/>
      <c r="JF4" s="86" t="s">
        <v>278</v>
      </c>
      <c r="JG4" s="83"/>
      <c r="JH4" s="83"/>
      <c r="JI4" s="83"/>
      <c r="JJ4" s="84"/>
      <c r="JL4" s="85" t="s">
        <v>279</v>
      </c>
      <c r="JM4" s="84"/>
      <c r="JO4" s="94" t="s">
        <v>280</v>
      </c>
      <c r="JP4" s="83"/>
      <c r="JQ4" s="83"/>
      <c r="JR4" s="84"/>
      <c r="JT4" s="33" t="s">
        <v>281</v>
      </c>
      <c r="JV4" s="32" t="s">
        <v>282</v>
      </c>
      <c r="JX4" s="33" t="s">
        <v>283</v>
      </c>
      <c r="JZ4" s="33" t="s">
        <v>284</v>
      </c>
      <c r="KB4" s="86" t="s">
        <v>285</v>
      </c>
      <c r="KC4" s="84"/>
      <c r="KE4" s="32" t="s">
        <v>286</v>
      </c>
      <c r="KG4" s="32" t="s">
        <v>287</v>
      </c>
      <c r="KI4" s="33" t="s">
        <v>288</v>
      </c>
      <c r="KK4" s="33" t="s">
        <v>289</v>
      </c>
      <c r="KM4" s="32" t="s">
        <v>290</v>
      </c>
      <c r="KO4" s="32" t="s">
        <v>291</v>
      </c>
      <c r="KQ4" s="32" t="s">
        <v>292</v>
      </c>
      <c r="KS4" s="37" t="s">
        <v>293</v>
      </c>
      <c r="KU4" s="85" t="s">
        <v>294</v>
      </c>
      <c r="KV4" s="84"/>
      <c r="KX4" s="32" t="s">
        <v>295</v>
      </c>
      <c r="KZ4" s="33" t="s">
        <v>296</v>
      </c>
      <c r="LB4" s="33" t="s">
        <v>297</v>
      </c>
      <c r="LD4" s="86" t="s">
        <v>298</v>
      </c>
      <c r="LE4" s="83"/>
      <c r="LF4" s="83"/>
      <c r="LG4" s="84"/>
      <c r="LI4" s="86" t="s">
        <v>299</v>
      </c>
      <c r="LJ4" s="83"/>
      <c r="LK4" s="83"/>
      <c r="LL4" s="84"/>
      <c r="LN4" s="86" t="s">
        <v>300</v>
      </c>
      <c r="LO4" s="83"/>
      <c r="LP4" s="83"/>
      <c r="LQ4" s="84"/>
      <c r="LS4" s="86" t="s">
        <v>301</v>
      </c>
      <c r="LT4" s="83"/>
      <c r="LU4" s="83"/>
      <c r="LV4" s="83"/>
      <c r="LW4" s="84"/>
      <c r="LY4" s="86" t="s">
        <v>302</v>
      </c>
      <c r="LZ4" s="83"/>
      <c r="MA4" s="84"/>
      <c r="MC4" s="86" t="s">
        <v>303</v>
      </c>
      <c r="MD4" s="83"/>
      <c r="ME4" s="83"/>
      <c r="MF4" s="83"/>
      <c r="MG4" s="84"/>
      <c r="MI4" s="89" t="s">
        <v>304</v>
      </c>
      <c r="MJ4" s="90"/>
      <c r="ML4" s="86" t="s">
        <v>305</v>
      </c>
      <c r="MM4" s="83"/>
      <c r="MN4" s="83"/>
      <c r="MO4" s="84"/>
      <c r="MQ4" s="89" t="s">
        <v>306</v>
      </c>
      <c r="MR4" s="90"/>
      <c r="MT4" s="86" t="s">
        <v>307</v>
      </c>
      <c r="MU4" s="83"/>
      <c r="MV4" s="84"/>
      <c r="MX4" s="89" t="s">
        <v>308</v>
      </c>
      <c r="MY4" s="90"/>
      <c r="NA4" s="86" t="s">
        <v>309</v>
      </c>
      <c r="NB4" s="84"/>
      <c r="ND4" s="86" t="s">
        <v>310</v>
      </c>
      <c r="NE4" s="83"/>
      <c r="NF4" s="83"/>
      <c r="NG4" s="84"/>
      <c r="NI4" s="86" t="s">
        <v>298</v>
      </c>
      <c r="NJ4" s="83"/>
      <c r="NK4" s="84"/>
      <c r="NM4" s="86" t="s">
        <v>311</v>
      </c>
      <c r="NN4" s="84"/>
      <c r="NP4" s="86" t="s">
        <v>312</v>
      </c>
      <c r="NQ4" s="84"/>
      <c r="NS4" s="86" t="s">
        <v>313</v>
      </c>
      <c r="NT4" s="84"/>
      <c r="NV4" s="86" t="s">
        <v>314</v>
      </c>
      <c r="NW4" s="83"/>
      <c r="NX4" s="84"/>
    </row>
    <row r="5" spans="1:388" s="28" customFormat="1" ht="9.75" customHeight="1">
      <c r="GY5" s="38"/>
      <c r="GZ5" s="39"/>
      <c r="HA5" s="39"/>
      <c r="HB5" s="39"/>
      <c r="HC5" s="40"/>
    </row>
    <row r="6" spans="1:388" ht="19.5" customHeight="1">
      <c r="B6" s="41" t="s">
        <v>315</v>
      </c>
      <c r="C6" s="42" t="s">
        <v>316</v>
      </c>
      <c r="E6" s="41" t="s">
        <v>315</v>
      </c>
      <c r="F6" s="42" t="s">
        <v>316</v>
      </c>
      <c r="H6" s="41" t="s">
        <v>315</v>
      </c>
      <c r="I6" s="42" t="s">
        <v>316</v>
      </c>
      <c r="K6" s="42" t="s">
        <v>315</v>
      </c>
      <c r="L6" s="42" t="s">
        <v>317</v>
      </c>
      <c r="M6" s="42" t="s">
        <v>316</v>
      </c>
      <c r="O6" s="42" t="s">
        <v>315</v>
      </c>
      <c r="P6" s="42" t="s">
        <v>316</v>
      </c>
      <c r="R6" s="42" t="s">
        <v>315</v>
      </c>
      <c r="S6" s="42" t="s">
        <v>318</v>
      </c>
      <c r="T6" s="43" t="s">
        <v>316</v>
      </c>
      <c r="V6" s="42" t="s">
        <v>315</v>
      </c>
      <c r="W6" s="43" t="s">
        <v>316</v>
      </c>
      <c r="Y6" s="42" t="s">
        <v>315</v>
      </c>
      <c r="Z6" s="43" t="s">
        <v>316</v>
      </c>
      <c r="AB6" s="42" t="s">
        <v>315</v>
      </c>
      <c r="AC6" s="43" t="s">
        <v>316</v>
      </c>
      <c r="AE6" s="41" t="s">
        <v>315</v>
      </c>
      <c r="AF6" s="42" t="s">
        <v>316</v>
      </c>
      <c r="AH6" s="42" t="s">
        <v>315</v>
      </c>
      <c r="AI6" s="42" t="s">
        <v>316</v>
      </c>
      <c r="AK6" s="42" t="s">
        <v>315</v>
      </c>
      <c r="AL6" s="42" t="s">
        <v>317</v>
      </c>
      <c r="AM6" s="42" t="s">
        <v>316</v>
      </c>
      <c r="AO6" s="42" t="s">
        <v>315</v>
      </c>
      <c r="AP6" s="42" t="s">
        <v>317</v>
      </c>
      <c r="AQ6" s="42" t="s">
        <v>316</v>
      </c>
      <c r="AS6" s="44" t="s">
        <v>315</v>
      </c>
      <c r="AT6" s="42" t="s">
        <v>316</v>
      </c>
      <c r="AV6" s="42" t="s">
        <v>315</v>
      </c>
      <c r="AW6" s="42" t="s">
        <v>317</v>
      </c>
      <c r="AX6" s="42" t="s">
        <v>316</v>
      </c>
      <c r="AZ6" s="44" t="s">
        <v>315</v>
      </c>
      <c r="BA6" s="42" t="s">
        <v>317</v>
      </c>
      <c r="BB6" s="42" t="s">
        <v>316</v>
      </c>
      <c r="BD6" s="42" t="s">
        <v>315</v>
      </c>
      <c r="BE6" s="42" t="s">
        <v>316</v>
      </c>
      <c r="BG6" s="42" t="s">
        <v>315</v>
      </c>
      <c r="BH6" s="42" t="s">
        <v>318</v>
      </c>
      <c r="BI6" s="43" t="s">
        <v>316</v>
      </c>
      <c r="BK6" s="42" t="s">
        <v>315</v>
      </c>
      <c r="BL6" s="43" t="s">
        <v>316</v>
      </c>
      <c r="BN6" s="42" t="s">
        <v>315</v>
      </c>
      <c r="BO6" s="43" t="s">
        <v>316</v>
      </c>
      <c r="BQ6" s="41" t="s">
        <v>315</v>
      </c>
      <c r="BR6" s="42" t="s">
        <v>316</v>
      </c>
      <c r="BT6" s="42" t="s">
        <v>315</v>
      </c>
      <c r="BU6" s="42" t="s">
        <v>317</v>
      </c>
      <c r="BV6" s="42" t="s">
        <v>319</v>
      </c>
      <c r="BX6" s="42" t="s">
        <v>315</v>
      </c>
      <c r="BY6" s="42" t="s">
        <v>320</v>
      </c>
      <c r="BZ6" s="42" t="s">
        <v>321</v>
      </c>
      <c r="CA6" s="43" t="s">
        <v>322</v>
      </c>
      <c r="CB6" s="43" t="s">
        <v>323</v>
      </c>
      <c r="CD6" s="45" t="s">
        <v>315</v>
      </c>
      <c r="CE6" s="42" t="s">
        <v>317</v>
      </c>
      <c r="CG6" s="42" t="s">
        <v>319</v>
      </c>
      <c r="CI6" s="42" t="s">
        <v>315</v>
      </c>
      <c r="CJ6" s="45" t="s">
        <v>320</v>
      </c>
      <c r="CK6" s="45" t="s">
        <v>323</v>
      </c>
      <c r="CL6" s="42" t="s">
        <v>322</v>
      </c>
      <c r="CN6" s="42" t="s">
        <v>324</v>
      </c>
      <c r="CO6" s="42" t="s">
        <v>325</v>
      </c>
      <c r="CP6" s="45" t="s">
        <v>326</v>
      </c>
      <c r="CQ6" s="42" t="s">
        <v>327</v>
      </c>
      <c r="CS6" s="42" t="s">
        <v>315</v>
      </c>
      <c r="CT6" s="42" t="s">
        <v>317</v>
      </c>
      <c r="CV6" s="45" t="s">
        <v>315</v>
      </c>
      <c r="CW6" s="42" t="s">
        <v>317</v>
      </c>
      <c r="CY6" s="42" t="s">
        <v>317</v>
      </c>
      <c r="CZ6" s="42" t="s">
        <v>315</v>
      </c>
      <c r="DA6" s="42" t="s">
        <v>328</v>
      </c>
      <c r="DB6" s="42" t="s">
        <v>316</v>
      </c>
      <c r="DD6" s="42" t="s">
        <v>317</v>
      </c>
      <c r="DE6" s="42" t="s">
        <v>329</v>
      </c>
      <c r="DF6" s="42" t="s">
        <v>315</v>
      </c>
      <c r="DG6" s="42" t="s">
        <v>89</v>
      </c>
      <c r="DH6" s="42" t="s">
        <v>328</v>
      </c>
      <c r="DI6" s="42" t="s">
        <v>316</v>
      </c>
      <c r="DJ6" s="42" t="s">
        <v>330</v>
      </c>
      <c r="DL6" s="42" t="s">
        <v>331</v>
      </c>
      <c r="DM6" s="42" t="s">
        <v>315</v>
      </c>
      <c r="DN6" s="42" t="s">
        <v>89</v>
      </c>
      <c r="DO6" s="42" t="s">
        <v>328</v>
      </c>
      <c r="DP6" s="42" t="s">
        <v>330</v>
      </c>
      <c r="DR6" s="42" t="s">
        <v>331</v>
      </c>
      <c r="DS6" s="42" t="s">
        <v>332</v>
      </c>
      <c r="DT6" s="42" t="s">
        <v>315</v>
      </c>
      <c r="DU6" s="42" t="s">
        <v>89</v>
      </c>
      <c r="DV6" s="42" t="s">
        <v>328</v>
      </c>
      <c r="DW6" s="42" t="s">
        <v>330</v>
      </c>
      <c r="DY6" s="42" t="s">
        <v>315</v>
      </c>
      <c r="DZ6" s="42" t="s">
        <v>89</v>
      </c>
      <c r="EA6" s="42" t="s">
        <v>328</v>
      </c>
      <c r="EB6" s="42" t="s">
        <v>330</v>
      </c>
      <c r="ED6" s="42" t="s">
        <v>333</v>
      </c>
      <c r="EE6" s="42" t="s">
        <v>315</v>
      </c>
      <c r="EF6" s="42" t="s">
        <v>89</v>
      </c>
      <c r="EG6" s="42" t="s">
        <v>328</v>
      </c>
      <c r="EH6" s="42" t="s">
        <v>330</v>
      </c>
      <c r="EJ6" s="42" t="s">
        <v>317</v>
      </c>
      <c r="EK6" s="42" t="s">
        <v>333</v>
      </c>
      <c r="EL6" s="42" t="s">
        <v>315</v>
      </c>
      <c r="EM6" s="42" t="s">
        <v>89</v>
      </c>
      <c r="EN6" s="42" t="s">
        <v>328</v>
      </c>
      <c r="EO6" s="42" t="s">
        <v>316</v>
      </c>
      <c r="EP6" s="42" t="s">
        <v>330</v>
      </c>
      <c r="ER6" s="42" t="s">
        <v>333</v>
      </c>
      <c r="ES6" s="42" t="s">
        <v>315</v>
      </c>
      <c r="ET6" s="42" t="s">
        <v>334</v>
      </c>
      <c r="EU6" s="42" t="s">
        <v>89</v>
      </c>
      <c r="EV6" s="42" t="s">
        <v>328</v>
      </c>
      <c r="EW6" s="42" t="s">
        <v>330</v>
      </c>
      <c r="EY6" s="42" t="s">
        <v>333</v>
      </c>
      <c r="EZ6" s="42" t="s">
        <v>315</v>
      </c>
      <c r="FA6" s="42" t="s">
        <v>89</v>
      </c>
      <c r="FB6" s="42" t="s">
        <v>328</v>
      </c>
      <c r="FC6" s="42" t="s">
        <v>330</v>
      </c>
      <c r="FE6" s="44" t="s">
        <v>315</v>
      </c>
      <c r="FG6" s="42" t="s">
        <v>317</v>
      </c>
      <c r="FH6" s="42" t="s">
        <v>335</v>
      </c>
      <c r="FI6" s="42" t="s">
        <v>336</v>
      </c>
      <c r="FJ6" s="42" t="s">
        <v>315</v>
      </c>
      <c r="FK6" s="42" t="s">
        <v>89</v>
      </c>
      <c r="FL6" s="42" t="s">
        <v>330</v>
      </c>
      <c r="FN6" s="42" t="s">
        <v>317</v>
      </c>
      <c r="FP6" s="42" t="s">
        <v>315</v>
      </c>
      <c r="FQ6" s="42" t="s">
        <v>337</v>
      </c>
      <c r="FS6" s="42" t="s">
        <v>332</v>
      </c>
      <c r="FT6" s="42" t="s">
        <v>338</v>
      </c>
      <c r="FV6" s="42" t="s">
        <v>317</v>
      </c>
      <c r="FW6" s="42" t="s">
        <v>339</v>
      </c>
      <c r="FX6" s="42" t="s">
        <v>340</v>
      </c>
      <c r="FZ6" s="42" t="s">
        <v>317</v>
      </c>
      <c r="GB6" s="45" t="s">
        <v>315</v>
      </c>
      <c r="GC6" s="45" t="s">
        <v>332</v>
      </c>
      <c r="GD6" s="42" t="s">
        <v>341</v>
      </c>
      <c r="GF6" s="42" t="s">
        <v>317</v>
      </c>
      <c r="GH6" s="42" t="s">
        <v>315</v>
      </c>
      <c r="GJ6" s="42" t="s">
        <v>317</v>
      </c>
      <c r="GL6" s="42" t="s">
        <v>317</v>
      </c>
      <c r="GN6" s="42" t="s">
        <v>315</v>
      </c>
      <c r="GO6" s="42" t="s">
        <v>330</v>
      </c>
      <c r="GP6" s="42" t="s">
        <v>317</v>
      </c>
      <c r="GR6" s="42" t="s">
        <v>317</v>
      </c>
      <c r="GT6" s="42" t="s">
        <v>332</v>
      </c>
      <c r="GU6" s="45" t="s">
        <v>317</v>
      </c>
      <c r="GV6" s="42" t="s">
        <v>330</v>
      </c>
      <c r="GW6" s="42" t="s">
        <v>342</v>
      </c>
      <c r="GY6" s="42" t="s">
        <v>315</v>
      </c>
      <c r="GZ6" s="43" t="s">
        <v>342</v>
      </c>
      <c r="HA6" s="42" t="s">
        <v>343</v>
      </c>
      <c r="HB6" s="43" t="s">
        <v>344</v>
      </c>
      <c r="HC6" s="42" t="s">
        <v>345</v>
      </c>
      <c r="HE6" s="42" t="s">
        <v>315</v>
      </c>
      <c r="HF6" s="42" t="s">
        <v>342</v>
      </c>
      <c r="HG6" s="42" t="s">
        <v>343</v>
      </c>
      <c r="HH6" s="43" t="s">
        <v>344</v>
      </c>
      <c r="HI6" s="42" t="s">
        <v>345</v>
      </c>
      <c r="HK6" s="42" t="s">
        <v>315</v>
      </c>
      <c r="HL6" s="42" t="s">
        <v>343</v>
      </c>
      <c r="HM6" s="43" t="s">
        <v>344</v>
      </c>
      <c r="HN6" s="42" t="s">
        <v>345</v>
      </c>
      <c r="HP6" s="42" t="s">
        <v>315</v>
      </c>
      <c r="HQ6" s="45" t="s">
        <v>342</v>
      </c>
      <c r="HR6" s="42" t="s">
        <v>343</v>
      </c>
      <c r="HS6" s="43" t="s">
        <v>344</v>
      </c>
      <c r="HT6" s="42" t="s">
        <v>345</v>
      </c>
      <c r="HV6" s="42" t="s">
        <v>315</v>
      </c>
      <c r="HW6" s="45" t="s">
        <v>342</v>
      </c>
      <c r="HX6" s="42" t="s">
        <v>343</v>
      </c>
      <c r="HY6" s="43" t="s">
        <v>344</v>
      </c>
      <c r="HZ6" s="42" t="s">
        <v>345</v>
      </c>
      <c r="IB6" s="42" t="s">
        <v>315</v>
      </c>
      <c r="IC6" s="45" t="s">
        <v>342</v>
      </c>
      <c r="ID6" s="42" t="s">
        <v>343</v>
      </c>
      <c r="IE6" s="43" t="s">
        <v>344</v>
      </c>
      <c r="IF6" s="42" t="s">
        <v>345</v>
      </c>
      <c r="IH6" s="42" t="s">
        <v>315</v>
      </c>
      <c r="II6" s="42" t="s">
        <v>342</v>
      </c>
      <c r="IJ6" s="42" t="s">
        <v>343</v>
      </c>
      <c r="IK6" s="43" t="s">
        <v>344</v>
      </c>
      <c r="IL6" s="42" t="s">
        <v>345</v>
      </c>
      <c r="IN6" s="42" t="s">
        <v>315</v>
      </c>
      <c r="IO6" s="42" t="s">
        <v>342</v>
      </c>
      <c r="IP6" s="42" t="s">
        <v>343</v>
      </c>
      <c r="IQ6" s="43" t="s">
        <v>344</v>
      </c>
      <c r="IR6" s="42" t="s">
        <v>345</v>
      </c>
      <c r="IT6" s="42" t="s">
        <v>315</v>
      </c>
      <c r="IU6" s="45" t="s">
        <v>342</v>
      </c>
      <c r="IV6" s="42" t="s">
        <v>343</v>
      </c>
      <c r="IW6" s="43" t="s">
        <v>344</v>
      </c>
      <c r="IX6" s="42" t="s">
        <v>345</v>
      </c>
      <c r="IZ6" s="42" t="s">
        <v>315</v>
      </c>
      <c r="JA6" s="45" t="s">
        <v>342</v>
      </c>
      <c r="JB6" s="42" t="s">
        <v>343</v>
      </c>
      <c r="JC6" s="43" t="s">
        <v>344</v>
      </c>
      <c r="JD6" s="42" t="s">
        <v>345</v>
      </c>
      <c r="JF6" s="42" t="s">
        <v>315</v>
      </c>
      <c r="JG6" s="42" t="s">
        <v>342</v>
      </c>
      <c r="JH6" s="42" t="s">
        <v>343</v>
      </c>
      <c r="JI6" s="43" t="s">
        <v>344</v>
      </c>
      <c r="JJ6" s="42" t="s">
        <v>345</v>
      </c>
      <c r="JL6" s="44" t="s">
        <v>315</v>
      </c>
      <c r="JM6" s="42" t="s">
        <v>317</v>
      </c>
      <c r="JO6" s="42" t="s">
        <v>315</v>
      </c>
      <c r="JP6" s="42" t="s">
        <v>343</v>
      </c>
      <c r="JQ6" s="43" t="s">
        <v>344</v>
      </c>
      <c r="JR6" s="42" t="s">
        <v>345</v>
      </c>
      <c r="JT6" s="42" t="s">
        <v>315</v>
      </c>
      <c r="JV6" s="44" t="s">
        <v>315</v>
      </c>
      <c r="JX6" s="42" t="s">
        <v>315</v>
      </c>
      <c r="JZ6" s="42" t="s">
        <v>315</v>
      </c>
      <c r="KB6" s="42" t="s">
        <v>315</v>
      </c>
      <c r="KC6" s="42" t="s">
        <v>317</v>
      </c>
      <c r="KE6" s="44" t="s">
        <v>315</v>
      </c>
      <c r="KG6" s="44" t="s">
        <v>315</v>
      </c>
      <c r="KI6" s="42" t="s">
        <v>315</v>
      </c>
      <c r="KK6" s="42" t="s">
        <v>315</v>
      </c>
      <c r="KM6" s="44" t="s">
        <v>315</v>
      </c>
      <c r="KO6" s="44" t="s">
        <v>315</v>
      </c>
      <c r="KQ6" s="44" t="s">
        <v>315</v>
      </c>
      <c r="KS6" s="44" t="s">
        <v>315</v>
      </c>
      <c r="KU6" s="44" t="s">
        <v>315</v>
      </c>
      <c r="KV6" s="42" t="s">
        <v>317</v>
      </c>
      <c r="KX6" s="44" t="s">
        <v>315</v>
      </c>
      <c r="KZ6" s="42" t="s">
        <v>315</v>
      </c>
      <c r="LB6" s="42" t="s">
        <v>317</v>
      </c>
      <c r="LD6" s="42" t="s">
        <v>317</v>
      </c>
      <c r="LE6" s="42" t="s">
        <v>346</v>
      </c>
      <c r="LF6" s="42" t="s">
        <v>347</v>
      </c>
      <c r="LG6" s="42" t="s">
        <v>348</v>
      </c>
      <c r="LI6" s="42" t="s">
        <v>315</v>
      </c>
      <c r="LJ6" s="42" t="s">
        <v>317</v>
      </c>
      <c r="LK6" s="42" t="s">
        <v>330</v>
      </c>
      <c r="LL6" s="42" t="s">
        <v>332</v>
      </c>
      <c r="LN6" s="42" t="s">
        <v>315</v>
      </c>
      <c r="LO6" s="42" t="s">
        <v>349</v>
      </c>
      <c r="LP6" s="42" t="s">
        <v>330</v>
      </c>
      <c r="LQ6" s="42" t="s">
        <v>342</v>
      </c>
      <c r="LS6" s="42" t="s">
        <v>315</v>
      </c>
      <c r="LT6" s="45" t="s">
        <v>350</v>
      </c>
      <c r="LU6" s="45" t="s">
        <v>332</v>
      </c>
      <c r="LV6" s="42" t="s">
        <v>330</v>
      </c>
      <c r="LW6" s="42" t="s">
        <v>351</v>
      </c>
      <c r="LY6" s="42" t="s">
        <v>315</v>
      </c>
      <c r="LZ6" s="43" t="s">
        <v>330</v>
      </c>
      <c r="MA6" s="42" t="s">
        <v>349</v>
      </c>
      <c r="MC6" s="45" t="s">
        <v>315</v>
      </c>
      <c r="MD6" s="45" t="s">
        <v>332</v>
      </c>
      <c r="ME6" s="45" t="s">
        <v>352</v>
      </c>
      <c r="MF6" s="42" t="s">
        <v>330</v>
      </c>
      <c r="MG6" s="42" t="s">
        <v>351</v>
      </c>
      <c r="MI6" s="42" t="s">
        <v>315</v>
      </c>
      <c r="MJ6" s="42" t="s">
        <v>330</v>
      </c>
      <c r="ML6" s="42" t="s">
        <v>315</v>
      </c>
      <c r="MM6" s="42" t="s">
        <v>332</v>
      </c>
      <c r="MN6" s="42" t="s">
        <v>330</v>
      </c>
      <c r="MO6" s="42" t="s">
        <v>317</v>
      </c>
      <c r="MQ6" s="42" t="s">
        <v>315</v>
      </c>
      <c r="MR6" s="42" t="s">
        <v>330</v>
      </c>
      <c r="MT6" s="42" t="s">
        <v>315</v>
      </c>
      <c r="MU6" s="42" t="s">
        <v>330</v>
      </c>
      <c r="MV6" s="42" t="s">
        <v>332</v>
      </c>
      <c r="MX6" s="42" t="s">
        <v>315</v>
      </c>
      <c r="MY6" s="42" t="s">
        <v>330</v>
      </c>
      <c r="NA6" s="45" t="s">
        <v>315</v>
      </c>
      <c r="NB6" s="42" t="s">
        <v>345</v>
      </c>
      <c r="ND6" s="45" t="s">
        <v>315</v>
      </c>
      <c r="NE6" s="42" t="s">
        <v>317</v>
      </c>
      <c r="NF6" s="45" t="s">
        <v>332</v>
      </c>
      <c r="NG6" s="42" t="s">
        <v>343</v>
      </c>
      <c r="NI6" s="45" t="s">
        <v>315</v>
      </c>
      <c r="NJ6" s="42" t="s">
        <v>317</v>
      </c>
      <c r="NK6" s="42" t="s">
        <v>345</v>
      </c>
      <c r="NM6" s="45" t="s">
        <v>315</v>
      </c>
      <c r="NN6" s="42" t="s">
        <v>345</v>
      </c>
      <c r="NP6" s="45" t="s">
        <v>315</v>
      </c>
      <c r="NQ6" s="42" t="s">
        <v>345</v>
      </c>
      <c r="NS6" s="45" t="s">
        <v>315</v>
      </c>
      <c r="NT6" s="42" t="s">
        <v>345</v>
      </c>
      <c r="NV6" s="45" t="s">
        <v>315</v>
      </c>
      <c r="NW6" s="45" t="s">
        <v>343</v>
      </c>
      <c r="NX6" s="45" t="s">
        <v>345</v>
      </c>
    </row>
    <row r="7" spans="1:388" ht="19.5" customHeight="1">
      <c r="B7" s="46" t="s">
        <v>134</v>
      </c>
      <c r="C7" s="47" t="s">
        <v>353</v>
      </c>
      <c r="E7" s="46" t="s">
        <v>134</v>
      </c>
      <c r="F7" s="47" t="s">
        <v>353</v>
      </c>
      <c r="H7" s="46" t="s">
        <v>134</v>
      </c>
      <c r="I7" s="47" t="s">
        <v>353</v>
      </c>
      <c r="K7" s="47" t="s">
        <v>354</v>
      </c>
      <c r="L7" s="47" t="s">
        <v>355</v>
      </c>
      <c r="M7" s="47" t="s">
        <v>353</v>
      </c>
      <c r="O7" s="47" t="s">
        <v>354</v>
      </c>
      <c r="P7" s="47" t="s">
        <v>353</v>
      </c>
      <c r="R7" s="47" t="s">
        <v>354</v>
      </c>
      <c r="S7" s="47" t="s">
        <v>356</v>
      </c>
      <c r="T7" s="48" t="s">
        <v>353</v>
      </c>
      <c r="V7" s="47" t="s">
        <v>354</v>
      </c>
      <c r="W7" s="48" t="s">
        <v>353</v>
      </c>
      <c r="Y7" s="47" t="s">
        <v>354</v>
      </c>
      <c r="Z7" s="48" t="s">
        <v>353</v>
      </c>
      <c r="AB7" s="47" t="s">
        <v>354</v>
      </c>
      <c r="AC7" s="48" t="s">
        <v>353</v>
      </c>
      <c r="AE7" s="46" t="s">
        <v>134</v>
      </c>
      <c r="AF7" s="47" t="s">
        <v>353</v>
      </c>
      <c r="AH7" s="47" t="s">
        <v>354</v>
      </c>
      <c r="AI7" s="47" t="s">
        <v>353</v>
      </c>
      <c r="AK7" s="47" t="s">
        <v>354</v>
      </c>
      <c r="AL7" s="46" t="s">
        <v>357</v>
      </c>
      <c r="AM7" s="47" t="s">
        <v>353</v>
      </c>
      <c r="AO7" s="47" t="s">
        <v>354</v>
      </c>
      <c r="AP7" s="46" t="s">
        <v>358</v>
      </c>
      <c r="AQ7" s="47" t="s">
        <v>353</v>
      </c>
      <c r="AS7" s="47" t="s">
        <v>134</v>
      </c>
      <c r="AT7" s="47" t="s">
        <v>353</v>
      </c>
      <c r="AV7" s="47" t="s">
        <v>354</v>
      </c>
      <c r="AW7" s="46" t="s">
        <v>359</v>
      </c>
      <c r="AX7" s="47" t="s">
        <v>353</v>
      </c>
      <c r="AZ7" s="47" t="s">
        <v>134</v>
      </c>
      <c r="BA7" s="47" t="s">
        <v>360</v>
      </c>
      <c r="BB7" s="47" t="s">
        <v>353</v>
      </c>
      <c r="BD7" s="47" t="s">
        <v>354</v>
      </c>
      <c r="BE7" s="47" t="s">
        <v>353</v>
      </c>
      <c r="BG7" s="47" t="s">
        <v>354</v>
      </c>
      <c r="BH7" s="47" t="s">
        <v>356</v>
      </c>
      <c r="BI7" s="48" t="s">
        <v>353</v>
      </c>
      <c r="BK7" s="47" t="s">
        <v>354</v>
      </c>
      <c r="BL7" s="48" t="s">
        <v>353</v>
      </c>
      <c r="BN7" s="47" t="s">
        <v>354</v>
      </c>
      <c r="BO7" s="48" t="s">
        <v>353</v>
      </c>
      <c r="BQ7" s="46" t="s">
        <v>134</v>
      </c>
      <c r="BR7" s="47" t="s">
        <v>353</v>
      </c>
      <c r="BT7" s="47" t="s">
        <v>134</v>
      </c>
      <c r="BU7" s="46" t="s">
        <v>361</v>
      </c>
      <c r="BV7" s="47" t="s">
        <v>362</v>
      </c>
      <c r="BX7" s="47" t="s">
        <v>134</v>
      </c>
      <c r="BY7" s="47" t="s">
        <v>363</v>
      </c>
      <c r="BZ7" s="46" t="s">
        <v>364</v>
      </c>
      <c r="CA7" s="47">
        <v>12</v>
      </c>
      <c r="CB7" s="48" t="s">
        <v>365</v>
      </c>
      <c r="CD7" s="46" t="s">
        <v>134</v>
      </c>
      <c r="CE7" s="47" t="s">
        <v>127</v>
      </c>
      <c r="CG7" s="47" t="s">
        <v>362</v>
      </c>
      <c r="CI7" s="47" t="s">
        <v>134</v>
      </c>
      <c r="CJ7" s="46" t="s">
        <v>363</v>
      </c>
      <c r="CK7" s="46" t="s">
        <v>365</v>
      </c>
      <c r="CL7" s="47">
        <v>12</v>
      </c>
      <c r="CN7" s="46" t="s">
        <v>366</v>
      </c>
      <c r="CO7" s="47" t="s">
        <v>367</v>
      </c>
      <c r="CP7" s="46" t="s">
        <v>368</v>
      </c>
      <c r="CQ7" s="47" t="s">
        <v>369</v>
      </c>
      <c r="CS7" s="47" t="s">
        <v>370</v>
      </c>
      <c r="CT7" s="47" t="s">
        <v>371</v>
      </c>
      <c r="CV7" s="46" t="s">
        <v>134</v>
      </c>
      <c r="CW7" s="47" t="s">
        <v>372</v>
      </c>
      <c r="CY7" s="47" t="s">
        <v>373</v>
      </c>
      <c r="CZ7" s="47" t="s">
        <v>370</v>
      </c>
      <c r="DA7" s="47" t="s">
        <v>374</v>
      </c>
      <c r="DB7" s="47" t="s">
        <v>375</v>
      </c>
      <c r="DD7" s="47" t="s">
        <v>376</v>
      </c>
      <c r="DE7" s="47" t="s">
        <v>362</v>
      </c>
      <c r="DF7" s="47" t="s">
        <v>370</v>
      </c>
      <c r="DG7" s="47" t="s">
        <v>135</v>
      </c>
      <c r="DH7" s="47" t="s">
        <v>374</v>
      </c>
      <c r="DI7" s="47" t="s">
        <v>375</v>
      </c>
      <c r="DJ7" s="47" t="s">
        <v>377</v>
      </c>
      <c r="DL7" s="47" t="s">
        <v>378</v>
      </c>
      <c r="DM7" s="47" t="s">
        <v>370</v>
      </c>
      <c r="DN7" s="47" t="s">
        <v>135</v>
      </c>
      <c r="DO7" s="47" t="s">
        <v>374</v>
      </c>
      <c r="DP7" s="47" t="s">
        <v>377</v>
      </c>
      <c r="DR7" s="47" t="s">
        <v>379</v>
      </c>
      <c r="DS7" s="47" t="s">
        <v>380</v>
      </c>
      <c r="DT7" s="47" t="s">
        <v>370</v>
      </c>
      <c r="DU7" s="47" t="s">
        <v>135</v>
      </c>
      <c r="DV7" s="47" t="s">
        <v>374</v>
      </c>
      <c r="DW7" s="47" t="s">
        <v>377</v>
      </c>
      <c r="DY7" s="47" t="s">
        <v>370</v>
      </c>
      <c r="DZ7" s="47" t="s">
        <v>135</v>
      </c>
      <c r="EA7" s="47" t="s">
        <v>374</v>
      </c>
      <c r="EB7" s="47" t="s">
        <v>377</v>
      </c>
      <c r="ED7" s="47" t="s">
        <v>381</v>
      </c>
      <c r="EE7" s="47" t="s">
        <v>370</v>
      </c>
      <c r="EF7" s="47" t="s">
        <v>135</v>
      </c>
      <c r="EG7" s="47" t="s">
        <v>374</v>
      </c>
      <c r="EH7" s="47" t="s">
        <v>377</v>
      </c>
      <c r="EJ7" s="47" t="s">
        <v>382</v>
      </c>
      <c r="EK7" s="47" t="s">
        <v>383</v>
      </c>
      <c r="EL7" s="47" t="s">
        <v>370</v>
      </c>
      <c r="EM7" s="47" t="s">
        <v>135</v>
      </c>
      <c r="EN7" s="47" t="s">
        <v>374</v>
      </c>
      <c r="EO7" s="47" t="s">
        <v>375</v>
      </c>
      <c r="EP7" s="47" t="s">
        <v>377</v>
      </c>
      <c r="ER7" s="47" t="s">
        <v>381</v>
      </c>
      <c r="ES7" s="47" t="s">
        <v>370</v>
      </c>
      <c r="ET7" s="47" t="s">
        <v>384</v>
      </c>
      <c r="EU7" s="47" t="s">
        <v>135</v>
      </c>
      <c r="EV7" s="47" t="s">
        <v>374</v>
      </c>
      <c r="EW7" s="47" t="s">
        <v>377</v>
      </c>
      <c r="EY7" s="47" t="s">
        <v>381</v>
      </c>
      <c r="EZ7" s="47" t="s">
        <v>370</v>
      </c>
      <c r="FA7" s="47" t="s">
        <v>135</v>
      </c>
      <c r="FB7" s="47" t="s">
        <v>374</v>
      </c>
      <c r="FC7" s="47" t="s">
        <v>377</v>
      </c>
      <c r="FE7" s="47" t="s">
        <v>385</v>
      </c>
      <c r="FG7" s="47" t="s">
        <v>386</v>
      </c>
      <c r="FH7" s="47" t="s">
        <v>387</v>
      </c>
      <c r="FI7" s="47" t="s">
        <v>388</v>
      </c>
      <c r="FJ7" s="47" t="s">
        <v>370</v>
      </c>
      <c r="FK7" s="47" t="s">
        <v>127</v>
      </c>
      <c r="FL7" s="47" t="s">
        <v>377</v>
      </c>
      <c r="FN7" s="47" t="s">
        <v>389</v>
      </c>
      <c r="FP7" s="47" t="s">
        <v>134</v>
      </c>
      <c r="FQ7" s="47" t="s">
        <v>390</v>
      </c>
      <c r="FS7" s="47" t="s">
        <v>391</v>
      </c>
      <c r="FT7" s="47" t="s">
        <v>392</v>
      </c>
      <c r="FV7" s="47" t="s">
        <v>393</v>
      </c>
      <c r="FW7" s="47" t="s">
        <v>394</v>
      </c>
      <c r="FX7" s="47" t="s">
        <v>395</v>
      </c>
      <c r="FZ7" s="47" t="s">
        <v>396</v>
      </c>
      <c r="GB7" s="46" t="s">
        <v>134</v>
      </c>
      <c r="GC7" s="46" t="s">
        <v>391</v>
      </c>
      <c r="GD7" s="47" t="s">
        <v>397</v>
      </c>
      <c r="GF7" s="47" t="s">
        <v>398</v>
      </c>
      <c r="GH7" s="47" t="s">
        <v>134</v>
      </c>
      <c r="GJ7" s="47" t="s">
        <v>399</v>
      </c>
      <c r="GL7" s="47" t="s">
        <v>400</v>
      </c>
      <c r="GN7" s="47" t="s">
        <v>401</v>
      </c>
      <c r="GO7" s="47" t="s">
        <v>377</v>
      </c>
      <c r="GP7" s="47" t="s">
        <v>402</v>
      </c>
      <c r="GR7" s="47" t="s">
        <v>403</v>
      </c>
      <c r="GT7" s="47" t="s">
        <v>404</v>
      </c>
      <c r="GU7" s="46" t="s">
        <v>405</v>
      </c>
      <c r="GV7" s="47" t="s">
        <v>377</v>
      </c>
      <c r="GW7" s="47" t="s">
        <v>406</v>
      </c>
      <c r="GY7" s="47" t="s">
        <v>407</v>
      </c>
      <c r="GZ7" s="48" t="s">
        <v>408</v>
      </c>
      <c r="HA7" s="47" t="s">
        <v>409</v>
      </c>
      <c r="HB7" s="48">
        <v>85</v>
      </c>
      <c r="HC7" s="47" t="s">
        <v>410</v>
      </c>
      <c r="HE7" s="47" t="s">
        <v>407</v>
      </c>
      <c r="HF7" s="47" t="s">
        <v>411</v>
      </c>
      <c r="HG7" s="47" t="s">
        <v>409</v>
      </c>
      <c r="HH7" s="48">
        <v>85</v>
      </c>
      <c r="HI7" s="47" t="s">
        <v>410</v>
      </c>
      <c r="HK7" s="47" t="s">
        <v>407</v>
      </c>
      <c r="HL7" s="47" t="s">
        <v>409</v>
      </c>
      <c r="HM7" s="48">
        <v>85</v>
      </c>
      <c r="HN7" s="47" t="s">
        <v>410</v>
      </c>
      <c r="HP7" s="47" t="s">
        <v>407</v>
      </c>
      <c r="HQ7" s="46" t="s">
        <v>411</v>
      </c>
      <c r="HR7" s="47" t="s">
        <v>409</v>
      </c>
      <c r="HS7" s="48">
        <v>85</v>
      </c>
      <c r="HT7" s="47" t="s">
        <v>410</v>
      </c>
      <c r="HV7" s="47" t="s">
        <v>407</v>
      </c>
      <c r="HW7" s="46" t="s">
        <v>412</v>
      </c>
      <c r="HX7" s="47" t="s">
        <v>409</v>
      </c>
      <c r="HY7" s="48">
        <v>85</v>
      </c>
      <c r="HZ7" s="47" t="s">
        <v>410</v>
      </c>
      <c r="IB7" s="47" t="s">
        <v>407</v>
      </c>
      <c r="IC7" s="46" t="s">
        <v>413</v>
      </c>
      <c r="ID7" s="47" t="s">
        <v>409</v>
      </c>
      <c r="IE7" s="48">
        <v>85</v>
      </c>
      <c r="IF7" s="47" t="s">
        <v>410</v>
      </c>
      <c r="IH7" s="47" t="s">
        <v>407</v>
      </c>
      <c r="II7" s="47" t="s">
        <v>414</v>
      </c>
      <c r="IJ7" s="47" t="s">
        <v>409</v>
      </c>
      <c r="IK7" s="48">
        <v>85</v>
      </c>
      <c r="IL7" s="47" t="s">
        <v>410</v>
      </c>
      <c r="IN7" s="47" t="s">
        <v>407</v>
      </c>
      <c r="IO7" s="47" t="s">
        <v>415</v>
      </c>
      <c r="IP7" s="47" t="s">
        <v>409</v>
      </c>
      <c r="IQ7" s="48">
        <v>85</v>
      </c>
      <c r="IR7" s="47" t="s">
        <v>410</v>
      </c>
      <c r="IT7" s="47" t="s">
        <v>407</v>
      </c>
      <c r="IU7" s="46" t="s">
        <v>408</v>
      </c>
      <c r="IV7" s="47" t="s">
        <v>409</v>
      </c>
      <c r="IW7" s="48">
        <v>85</v>
      </c>
      <c r="IX7" s="47" t="s">
        <v>410</v>
      </c>
      <c r="IZ7" s="47" t="s">
        <v>407</v>
      </c>
      <c r="JA7" s="46" t="s">
        <v>416</v>
      </c>
      <c r="JB7" s="47" t="s">
        <v>409</v>
      </c>
      <c r="JC7" s="48">
        <v>85</v>
      </c>
      <c r="JD7" s="47" t="s">
        <v>410</v>
      </c>
      <c r="JF7" s="47" t="s">
        <v>407</v>
      </c>
      <c r="JG7" s="47" t="s">
        <v>415</v>
      </c>
      <c r="JH7" s="47" t="s">
        <v>409</v>
      </c>
      <c r="JI7" s="48">
        <v>85</v>
      </c>
      <c r="JJ7" s="47" t="s">
        <v>410</v>
      </c>
      <c r="JL7" s="47" t="s">
        <v>134</v>
      </c>
      <c r="JM7" s="47" t="s">
        <v>417</v>
      </c>
      <c r="JO7" s="47" t="s">
        <v>407</v>
      </c>
      <c r="JP7" s="47" t="s">
        <v>409</v>
      </c>
      <c r="JQ7" s="48">
        <v>85</v>
      </c>
      <c r="JR7" s="47" t="s">
        <v>410</v>
      </c>
      <c r="JT7" s="47" t="s">
        <v>370</v>
      </c>
      <c r="JV7" s="47" t="s">
        <v>134</v>
      </c>
      <c r="JX7" s="47" t="s">
        <v>370</v>
      </c>
      <c r="JZ7" s="47" t="s">
        <v>370</v>
      </c>
      <c r="KB7" s="47" t="s">
        <v>370</v>
      </c>
      <c r="KC7" s="47" t="s">
        <v>418</v>
      </c>
      <c r="KE7" s="47" t="s">
        <v>134</v>
      </c>
      <c r="KG7" s="47" t="s">
        <v>134</v>
      </c>
      <c r="KI7" s="47" t="s">
        <v>370</v>
      </c>
      <c r="KK7" s="47" t="s">
        <v>370</v>
      </c>
      <c r="KM7" s="47" t="s">
        <v>134</v>
      </c>
      <c r="KO7" s="47" t="s">
        <v>134</v>
      </c>
      <c r="KQ7" s="47" t="s">
        <v>134</v>
      </c>
      <c r="KS7" s="47" t="s">
        <v>134</v>
      </c>
      <c r="KU7" s="47" t="s">
        <v>134</v>
      </c>
      <c r="KV7" s="47" t="s">
        <v>419</v>
      </c>
      <c r="KX7" s="47" t="s">
        <v>134</v>
      </c>
      <c r="KZ7" s="47" t="s">
        <v>370</v>
      </c>
      <c r="LB7" s="47" t="s">
        <v>420</v>
      </c>
      <c r="LD7" s="47" t="s">
        <v>421</v>
      </c>
      <c r="LE7" s="47" t="s">
        <v>422</v>
      </c>
      <c r="LF7" s="47">
        <v>2</v>
      </c>
      <c r="LG7" s="47" t="s">
        <v>391</v>
      </c>
      <c r="LI7" s="47" t="s">
        <v>401</v>
      </c>
      <c r="LJ7" s="47" t="s">
        <v>423</v>
      </c>
      <c r="LK7" s="47" t="s">
        <v>377</v>
      </c>
      <c r="LL7" s="47" t="s">
        <v>424</v>
      </c>
      <c r="LN7" s="46" t="s">
        <v>401</v>
      </c>
      <c r="LO7" s="47" t="s">
        <v>425</v>
      </c>
      <c r="LP7" s="47" t="s">
        <v>377</v>
      </c>
      <c r="LQ7" s="47" t="s">
        <v>426</v>
      </c>
      <c r="LS7" s="47" t="s">
        <v>401</v>
      </c>
      <c r="LT7" s="46">
        <v>1</v>
      </c>
      <c r="LU7" s="46" t="s">
        <v>404</v>
      </c>
      <c r="LV7" s="47" t="s">
        <v>377</v>
      </c>
      <c r="LW7" s="47" t="s">
        <v>427</v>
      </c>
      <c r="LY7" s="47" t="s">
        <v>401</v>
      </c>
      <c r="LZ7" s="48" t="s">
        <v>377</v>
      </c>
      <c r="MA7" s="47" t="s">
        <v>428</v>
      </c>
      <c r="MC7" s="47" t="s">
        <v>401</v>
      </c>
      <c r="MD7" s="47" t="s">
        <v>404</v>
      </c>
      <c r="ME7" s="46" t="s">
        <v>429</v>
      </c>
      <c r="MF7" s="47" t="s">
        <v>377</v>
      </c>
      <c r="MG7" s="47" t="s">
        <v>427</v>
      </c>
      <c r="MI7" s="47" t="s">
        <v>401</v>
      </c>
      <c r="MJ7" s="47" t="s">
        <v>377</v>
      </c>
      <c r="ML7" s="47" t="s">
        <v>401</v>
      </c>
      <c r="MM7" s="47" t="s">
        <v>430</v>
      </c>
      <c r="MN7" s="47" t="s">
        <v>377</v>
      </c>
      <c r="MO7" s="47" t="s">
        <v>431</v>
      </c>
      <c r="MQ7" s="47" t="s">
        <v>401</v>
      </c>
      <c r="MR7" s="47" t="s">
        <v>377</v>
      </c>
      <c r="MT7" s="47" t="s">
        <v>401</v>
      </c>
      <c r="MU7" s="47" t="s">
        <v>377</v>
      </c>
      <c r="MV7" s="47" t="s">
        <v>248</v>
      </c>
      <c r="MX7" s="47" t="s">
        <v>401</v>
      </c>
      <c r="MY7" s="47" t="s">
        <v>377</v>
      </c>
      <c r="NA7" s="46" t="s">
        <v>134</v>
      </c>
      <c r="NB7" s="47" t="s">
        <v>410</v>
      </c>
      <c r="ND7" s="46" t="s">
        <v>134</v>
      </c>
      <c r="NE7" s="47" t="s">
        <v>432</v>
      </c>
      <c r="NF7" s="46" t="s">
        <v>433</v>
      </c>
      <c r="NG7" s="47" t="s">
        <v>434</v>
      </c>
      <c r="NI7" s="46" t="s">
        <v>134</v>
      </c>
      <c r="NJ7" s="47" t="s">
        <v>435</v>
      </c>
      <c r="NK7" s="47" t="s">
        <v>410</v>
      </c>
      <c r="NM7" s="46" t="s">
        <v>134</v>
      </c>
      <c r="NN7" s="47" t="s">
        <v>410</v>
      </c>
      <c r="NP7" s="46" t="s">
        <v>134</v>
      </c>
      <c r="NQ7" s="47" t="s">
        <v>410</v>
      </c>
      <c r="NS7" s="46" t="s">
        <v>134</v>
      </c>
      <c r="NT7" s="47" t="s">
        <v>410</v>
      </c>
      <c r="NV7" s="46" t="s">
        <v>134</v>
      </c>
      <c r="NW7" s="47" t="s">
        <v>409</v>
      </c>
      <c r="NX7" s="47" t="s">
        <v>410</v>
      </c>
    </row>
    <row r="8" spans="1:388" ht="19.5" customHeight="1">
      <c r="B8" s="46" t="s">
        <v>100</v>
      </c>
      <c r="C8" s="47" t="s">
        <v>436</v>
      </c>
      <c r="E8" s="46" t="s">
        <v>100</v>
      </c>
      <c r="F8" s="47" t="s">
        <v>436</v>
      </c>
      <c r="H8" s="46" t="s">
        <v>100</v>
      </c>
      <c r="I8" s="47" t="s">
        <v>436</v>
      </c>
      <c r="K8" s="47" t="s">
        <v>437</v>
      </c>
      <c r="L8" s="47" t="s">
        <v>438</v>
      </c>
      <c r="M8" s="47" t="s">
        <v>436</v>
      </c>
      <c r="O8" s="47" t="s">
        <v>437</v>
      </c>
      <c r="P8" s="47" t="s">
        <v>436</v>
      </c>
      <c r="R8" s="47" t="s">
        <v>437</v>
      </c>
      <c r="S8" s="47" t="s">
        <v>439</v>
      </c>
      <c r="T8" s="48" t="s">
        <v>436</v>
      </c>
      <c r="V8" s="47" t="s">
        <v>437</v>
      </c>
      <c r="W8" s="48" t="s">
        <v>436</v>
      </c>
      <c r="Y8" s="47" t="s">
        <v>437</v>
      </c>
      <c r="Z8" s="48" t="s">
        <v>436</v>
      </c>
      <c r="AB8" s="47" t="s">
        <v>437</v>
      </c>
      <c r="AC8" s="48" t="s">
        <v>436</v>
      </c>
      <c r="AE8" s="46" t="s">
        <v>100</v>
      </c>
      <c r="AF8" s="47" t="s">
        <v>436</v>
      </c>
      <c r="AH8" s="47" t="s">
        <v>437</v>
      </c>
      <c r="AI8" s="47" t="s">
        <v>436</v>
      </c>
      <c r="AK8" s="47" t="s">
        <v>437</v>
      </c>
      <c r="AL8" s="46" t="s">
        <v>298</v>
      </c>
      <c r="AM8" s="47" t="s">
        <v>436</v>
      </c>
      <c r="AO8" s="47" t="s">
        <v>437</v>
      </c>
      <c r="AP8" s="46" t="s">
        <v>298</v>
      </c>
      <c r="AQ8" s="47" t="s">
        <v>436</v>
      </c>
      <c r="AS8" s="47" t="s">
        <v>100</v>
      </c>
      <c r="AT8" s="47" t="s">
        <v>436</v>
      </c>
      <c r="AV8" s="47" t="s">
        <v>437</v>
      </c>
      <c r="AW8" s="46" t="s">
        <v>440</v>
      </c>
      <c r="AX8" s="47" t="s">
        <v>436</v>
      </c>
      <c r="AZ8" s="47" t="s">
        <v>100</v>
      </c>
      <c r="BA8" s="47" t="s">
        <v>298</v>
      </c>
      <c r="BB8" s="47" t="s">
        <v>436</v>
      </c>
      <c r="BD8" s="47" t="s">
        <v>437</v>
      </c>
      <c r="BE8" s="47" t="s">
        <v>436</v>
      </c>
      <c r="BG8" s="47" t="s">
        <v>437</v>
      </c>
      <c r="BH8" s="47" t="s">
        <v>439</v>
      </c>
      <c r="BI8" s="48" t="s">
        <v>436</v>
      </c>
      <c r="BK8" s="47" t="s">
        <v>437</v>
      </c>
      <c r="BL8" s="48" t="s">
        <v>436</v>
      </c>
      <c r="BN8" s="47" t="s">
        <v>437</v>
      </c>
      <c r="BO8" s="48" t="s">
        <v>436</v>
      </c>
      <c r="BQ8" s="46" t="s">
        <v>100</v>
      </c>
      <c r="BR8" s="47" t="s">
        <v>436</v>
      </c>
      <c r="BT8" s="47" t="s">
        <v>100</v>
      </c>
      <c r="BU8" s="46" t="s">
        <v>441</v>
      </c>
      <c r="BV8" s="47" t="s">
        <v>442</v>
      </c>
      <c r="BX8" s="47" t="s">
        <v>100</v>
      </c>
      <c r="BY8" s="47" t="s">
        <v>443</v>
      </c>
      <c r="BZ8" s="46" t="s">
        <v>444</v>
      </c>
      <c r="CA8" s="47">
        <v>16</v>
      </c>
      <c r="CB8" s="48" t="s">
        <v>445</v>
      </c>
      <c r="CD8" s="46" t="s">
        <v>100</v>
      </c>
      <c r="CE8" s="47" t="s">
        <v>446</v>
      </c>
      <c r="CG8" s="47" t="s">
        <v>447</v>
      </c>
      <c r="CI8" s="47" t="s">
        <v>100</v>
      </c>
      <c r="CJ8" s="46" t="s">
        <v>443</v>
      </c>
      <c r="CK8" s="46" t="s">
        <v>445</v>
      </c>
      <c r="CL8" s="47">
        <v>16</v>
      </c>
      <c r="CN8" s="46" t="s">
        <v>448</v>
      </c>
      <c r="CO8" s="47" t="s">
        <v>449</v>
      </c>
      <c r="CP8" s="46" t="s">
        <v>450</v>
      </c>
      <c r="CQ8" s="47" t="s">
        <v>451</v>
      </c>
      <c r="CS8" s="47" t="s">
        <v>407</v>
      </c>
      <c r="CT8" s="47" t="s">
        <v>452</v>
      </c>
      <c r="CV8" s="46" t="s">
        <v>100</v>
      </c>
      <c r="CW8" s="47" t="s">
        <v>453</v>
      </c>
      <c r="CY8" s="47" t="s">
        <v>454</v>
      </c>
      <c r="CZ8" s="47" t="s">
        <v>102</v>
      </c>
      <c r="DA8" s="47">
        <v>1.5</v>
      </c>
      <c r="DB8" s="47" t="s">
        <v>455</v>
      </c>
      <c r="DD8" s="47" t="s">
        <v>456</v>
      </c>
      <c r="DE8" s="47" t="s">
        <v>457</v>
      </c>
      <c r="DF8" s="47" t="s">
        <v>102</v>
      </c>
      <c r="DG8" s="47" t="s">
        <v>458</v>
      </c>
      <c r="DH8" s="47">
        <v>1.5</v>
      </c>
      <c r="DI8" s="47" t="s">
        <v>455</v>
      </c>
      <c r="DJ8" s="47" t="s">
        <v>459</v>
      </c>
      <c r="DL8" s="47" t="s">
        <v>460</v>
      </c>
      <c r="DM8" s="47" t="s">
        <v>102</v>
      </c>
      <c r="DN8" s="47" t="s">
        <v>458</v>
      </c>
      <c r="DO8" s="47">
        <v>1.5</v>
      </c>
      <c r="DP8" s="47" t="s">
        <v>459</v>
      </c>
      <c r="DR8" s="47" t="s">
        <v>461</v>
      </c>
      <c r="DS8" s="47" t="s">
        <v>462</v>
      </c>
      <c r="DT8" s="47" t="s">
        <v>102</v>
      </c>
      <c r="DU8" s="47" t="s">
        <v>458</v>
      </c>
      <c r="DV8" s="47">
        <v>1.5</v>
      </c>
      <c r="DW8" s="47" t="s">
        <v>459</v>
      </c>
      <c r="DY8" s="47" t="s">
        <v>102</v>
      </c>
      <c r="DZ8" s="47" t="s">
        <v>458</v>
      </c>
      <c r="EA8" s="47">
        <v>1.5</v>
      </c>
      <c r="EB8" s="47" t="s">
        <v>459</v>
      </c>
      <c r="ED8" s="47" t="s">
        <v>463</v>
      </c>
      <c r="EE8" s="47" t="s">
        <v>102</v>
      </c>
      <c r="EF8" s="47" t="s">
        <v>458</v>
      </c>
      <c r="EG8" s="47">
        <v>1.5</v>
      </c>
      <c r="EH8" s="47" t="s">
        <v>459</v>
      </c>
      <c r="EJ8" s="47" t="s">
        <v>464</v>
      </c>
      <c r="EK8" s="47" t="s">
        <v>465</v>
      </c>
      <c r="EL8" s="47" t="s">
        <v>102</v>
      </c>
      <c r="EM8" s="47" t="s">
        <v>458</v>
      </c>
      <c r="EN8" s="47">
        <v>1.5</v>
      </c>
      <c r="EO8" s="47" t="s">
        <v>455</v>
      </c>
      <c r="EP8" s="47" t="s">
        <v>459</v>
      </c>
      <c r="ER8" s="47" t="s">
        <v>463</v>
      </c>
      <c r="ES8" s="47" t="s">
        <v>102</v>
      </c>
      <c r="ET8" s="47" t="s">
        <v>466</v>
      </c>
      <c r="EU8" s="47" t="s">
        <v>458</v>
      </c>
      <c r="EV8" s="47">
        <v>1.5</v>
      </c>
      <c r="EW8" s="47" t="s">
        <v>459</v>
      </c>
      <c r="EY8" s="47" t="s">
        <v>463</v>
      </c>
      <c r="EZ8" s="47" t="s">
        <v>102</v>
      </c>
      <c r="FA8" s="47" t="s">
        <v>458</v>
      </c>
      <c r="FB8" s="47">
        <v>1.5</v>
      </c>
      <c r="FC8" s="47" t="s">
        <v>459</v>
      </c>
      <c r="FE8" s="47" t="s">
        <v>100</v>
      </c>
      <c r="FG8" s="47" t="s">
        <v>467</v>
      </c>
      <c r="FH8" s="47" t="s">
        <v>468</v>
      </c>
      <c r="FI8" s="47" t="s">
        <v>469</v>
      </c>
      <c r="FJ8" s="47" t="s">
        <v>102</v>
      </c>
      <c r="FK8" s="47" t="s">
        <v>470</v>
      </c>
      <c r="FL8" s="47" t="s">
        <v>459</v>
      </c>
      <c r="FN8" s="47" t="s">
        <v>471</v>
      </c>
      <c r="FP8" s="47" t="s">
        <v>100</v>
      </c>
      <c r="FQ8" s="47" t="s">
        <v>472</v>
      </c>
      <c r="FS8" s="47" t="s">
        <v>473</v>
      </c>
      <c r="FT8" s="47" t="s">
        <v>474</v>
      </c>
      <c r="FV8" s="47" t="s">
        <v>475</v>
      </c>
      <c r="FW8" s="47" t="s">
        <v>476</v>
      </c>
      <c r="FX8" s="47" t="s">
        <v>477</v>
      </c>
      <c r="FZ8" s="47" t="s">
        <v>478</v>
      </c>
      <c r="GB8" s="46" t="s">
        <v>100</v>
      </c>
      <c r="GC8" s="46" t="s">
        <v>473</v>
      </c>
      <c r="GD8" s="47" t="s">
        <v>479</v>
      </c>
      <c r="GF8" s="47" t="s">
        <v>480</v>
      </c>
      <c r="GH8" s="47" t="s">
        <v>100</v>
      </c>
      <c r="GJ8" s="47" t="s">
        <v>481</v>
      </c>
      <c r="GL8" s="47" t="s">
        <v>482</v>
      </c>
      <c r="GN8" s="47" t="s">
        <v>119</v>
      </c>
      <c r="GO8" s="47" t="s">
        <v>459</v>
      </c>
      <c r="GP8" s="47" t="s">
        <v>483</v>
      </c>
      <c r="GR8" s="47" t="s">
        <v>484</v>
      </c>
      <c r="GT8" s="47" t="s">
        <v>485</v>
      </c>
      <c r="GU8" s="46" t="s">
        <v>486</v>
      </c>
      <c r="GV8" s="47" t="s">
        <v>459</v>
      </c>
      <c r="GW8" s="47" t="s">
        <v>487</v>
      </c>
      <c r="GY8" s="47" t="s">
        <v>126</v>
      </c>
      <c r="GZ8" s="48" t="s">
        <v>414</v>
      </c>
      <c r="HA8" s="47" t="s">
        <v>488</v>
      </c>
      <c r="HB8" s="48">
        <v>125</v>
      </c>
      <c r="HC8" s="47" t="s">
        <v>489</v>
      </c>
      <c r="HE8" s="47" t="s">
        <v>126</v>
      </c>
      <c r="HF8" s="47" t="s">
        <v>414</v>
      </c>
      <c r="HG8" s="47" t="s">
        <v>488</v>
      </c>
      <c r="HH8" s="48">
        <v>125</v>
      </c>
      <c r="HI8" s="47" t="s">
        <v>489</v>
      </c>
      <c r="HK8" s="47" t="s">
        <v>126</v>
      </c>
      <c r="HL8" s="47" t="s">
        <v>488</v>
      </c>
      <c r="HM8" s="48">
        <v>125</v>
      </c>
      <c r="HN8" s="47" t="s">
        <v>489</v>
      </c>
      <c r="HP8" s="47" t="s">
        <v>126</v>
      </c>
      <c r="HQ8" s="46" t="s">
        <v>414</v>
      </c>
      <c r="HR8" s="47" t="s">
        <v>488</v>
      </c>
      <c r="HS8" s="48">
        <v>125</v>
      </c>
      <c r="HT8" s="47" t="s">
        <v>489</v>
      </c>
      <c r="HV8" s="47" t="s">
        <v>126</v>
      </c>
      <c r="HW8" s="46" t="s">
        <v>416</v>
      </c>
      <c r="HX8" s="47" t="s">
        <v>488</v>
      </c>
      <c r="HY8" s="48">
        <v>125</v>
      </c>
      <c r="HZ8" s="47" t="s">
        <v>489</v>
      </c>
      <c r="IB8" s="47" t="s">
        <v>126</v>
      </c>
      <c r="IC8" s="46" t="s">
        <v>490</v>
      </c>
      <c r="ID8" s="47" t="s">
        <v>488</v>
      </c>
      <c r="IE8" s="48">
        <v>125</v>
      </c>
      <c r="IF8" s="47" t="s">
        <v>489</v>
      </c>
      <c r="IH8" s="47" t="s">
        <v>126</v>
      </c>
      <c r="II8" s="47" t="s">
        <v>416</v>
      </c>
      <c r="IJ8" s="47" t="s">
        <v>488</v>
      </c>
      <c r="IK8" s="48">
        <v>125</v>
      </c>
      <c r="IL8" s="47" t="s">
        <v>489</v>
      </c>
      <c r="IN8" s="47" t="s">
        <v>126</v>
      </c>
      <c r="IO8" s="47" t="s">
        <v>414</v>
      </c>
      <c r="IP8" s="47" t="s">
        <v>488</v>
      </c>
      <c r="IQ8" s="48">
        <v>125</v>
      </c>
      <c r="IR8" s="47" t="s">
        <v>489</v>
      </c>
      <c r="IT8" s="47" t="s">
        <v>126</v>
      </c>
      <c r="IU8" s="46" t="s">
        <v>491</v>
      </c>
      <c r="IV8" s="47" t="s">
        <v>488</v>
      </c>
      <c r="IW8" s="48">
        <v>125</v>
      </c>
      <c r="IX8" s="47" t="s">
        <v>489</v>
      </c>
      <c r="IZ8" s="47" t="s">
        <v>126</v>
      </c>
      <c r="JA8" s="46" t="s">
        <v>492</v>
      </c>
      <c r="JB8" s="47" t="s">
        <v>488</v>
      </c>
      <c r="JC8" s="48">
        <v>125</v>
      </c>
      <c r="JD8" s="47" t="s">
        <v>489</v>
      </c>
      <c r="JF8" s="47" t="s">
        <v>126</v>
      </c>
      <c r="JG8" s="47" t="s">
        <v>414</v>
      </c>
      <c r="JH8" s="47" t="s">
        <v>488</v>
      </c>
      <c r="JI8" s="48">
        <v>125</v>
      </c>
      <c r="JJ8" s="47" t="s">
        <v>489</v>
      </c>
      <c r="JL8" s="47" t="s">
        <v>100</v>
      </c>
      <c r="JM8" s="47" t="s">
        <v>493</v>
      </c>
      <c r="JO8" s="47" t="s">
        <v>126</v>
      </c>
      <c r="JP8" s="47" t="s">
        <v>488</v>
      </c>
      <c r="JQ8" s="48">
        <v>125</v>
      </c>
      <c r="JR8" s="47" t="s">
        <v>489</v>
      </c>
      <c r="JT8" s="47" t="s">
        <v>407</v>
      </c>
      <c r="JV8" s="47" t="s">
        <v>100</v>
      </c>
      <c r="JX8" s="47" t="s">
        <v>407</v>
      </c>
      <c r="JZ8" s="47" t="s">
        <v>407</v>
      </c>
      <c r="KB8" s="47" t="s">
        <v>407</v>
      </c>
      <c r="KC8" s="47" t="s">
        <v>494</v>
      </c>
      <c r="KE8" s="47" t="s">
        <v>100</v>
      </c>
      <c r="KG8" s="47" t="s">
        <v>100</v>
      </c>
      <c r="KI8" s="47" t="s">
        <v>407</v>
      </c>
      <c r="KK8" s="47" t="s">
        <v>407</v>
      </c>
      <c r="KM8" s="47" t="s">
        <v>100</v>
      </c>
      <c r="KO8" s="47" t="s">
        <v>100</v>
      </c>
      <c r="KQ8" s="47" t="s">
        <v>100</v>
      </c>
      <c r="KS8" s="47" t="s">
        <v>100</v>
      </c>
      <c r="KU8" s="47" t="s">
        <v>100</v>
      </c>
      <c r="KV8" s="47" t="s">
        <v>495</v>
      </c>
      <c r="KX8" s="47" t="s">
        <v>100</v>
      </c>
      <c r="KZ8" s="47" t="s">
        <v>407</v>
      </c>
      <c r="LB8" s="47" t="s">
        <v>496</v>
      </c>
      <c r="LD8" s="47" t="s">
        <v>497</v>
      </c>
      <c r="LE8" s="47" t="s">
        <v>498</v>
      </c>
      <c r="LF8" s="47">
        <v>3</v>
      </c>
      <c r="LG8" s="47" t="s">
        <v>499</v>
      </c>
      <c r="LI8" s="47" t="s">
        <v>119</v>
      </c>
      <c r="LJ8" s="47" t="s">
        <v>500</v>
      </c>
      <c r="LK8" s="47" t="s">
        <v>459</v>
      </c>
      <c r="LL8" s="47" t="s">
        <v>501</v>
      </c>
      <c r="LN8" s="46" t="s">
        <v>119</v>
      </c>
      <c r="LO8" s="47" t="s">
        <v>271</v>
      </c>
      <c r="LP8" s="47" t="s">
        <v>459</v>
      </c>
      <c r="LQ8" s="47" t="s">
        <v>502</v>
      </c>
      <c r="LS8" s="47" t="s">
        <v>119</v>
      </c>
      <c r="LT8" s="46">
        <v>0</v>
      </c>
      <c r="LU8" s="46" t="s">
        <v>503</v>
      </c>
      <c r="LV8" s="47" t="s">
        <v>459</v>
      </c>
      <c r="LW8" s="47" t="s">
        <v>504</v>
      </c>
      <c r="LY8" s="47" t="s">
        <v>119</v>
      </c>
      <c r="LZ8" s="48" t="s">
        <v>459</v>
      </c>
      <c r="MA8" s="47" t="s">
        <v>505</v>
      </c>
      <c r="MC8" s="47" t="s">
        <v>119</v>
      </c>
      <c r="MD8" s="47" t="s">
        <v>485</v>
      </c>
      <c r="ME8" s="46" t="s">
        <v>506</v>
      </c>
      <c r="MF8" s="47" t="s">
        <v>459</v>
      </c>
      <c r="MG8" s="47" t="s">
        <v>504</v>
      </c>
      <c r="MI8" s="47" t="s">
        <v>119</v>
      </c>
      <c r="MJ8" s="47" t="s">
        <v>459</v>
      </c>
      <c r="ML8" s="47" t="s">
        <v>119</v>
      </c>
      <c r="MM8" s="47" t="s">
        <v>248</v>
      </c>
      <c r="MN8" s="47" t="s">
        <v>459</v>
      </c>
      <c r="MO8" s="47" t="s">
        <v>507</v>
      </c>
      <c r="MQ8" s="47" t="s">
        <v>119</v>
      </c>
      <c r="MR8" s="47" t="s">
        <v>459</v>
      </c>
      <c r="MT8" s="47" t="s">
        <v>119</v>
      </c>
      <c r="MU8" s="47" t="s">
        <v>459</v>
      </c>
      <c r="MV8" s="47" t="s">
        <v>508</v>
      </c>
      <c r="MX8" s="47" t="s">
        <v>119</v>
      </c>
      <c r="MY8" s="47" t="s">
        <v>459</v>
      </c>
      <c r="NA8" s="46" t="s">
        <v>100</v>
      </c>
      <c r="NB8" s="47" t="s">
        <v>489</v>
      </c>
      <c r="ND8" s="46" t="s">
        <v>100</v>
      </c>
      <c r="NE8" s="47" t="s">
        <v>509</v>
      </c>
      <c r="NF8" s="46" t="s">
        <v>510</v>
      </c>
      <c r="NG8" s="47" t="s">
        <v>511</v>
      </c>
      <c r="NI8" s="46" t="s">
        <v>100</v>
      </c>
      <c r="NJ8" s="47" t="s">
        <v>512</v>
      </c>
      <c r="NK8" s="47" t="s">
        <v>489</v>
      </c>
      <c r="NM8" s="46" t="s">
        <v>100</v>
      </c>
      <c r="NN8" s="47" t="s">
        <v>489</v>
      </c>
      <c r="NP8" s="46" t="s">
        <v>100</v>
      </c>
      <c r="NQ8" s="47" t="s">
        <v>489</v>
      </c>
      <c r="NS8" s="46" t="s">
        <v>100</v>
      </c>
      <c r="NT8" s="47" t="s">
        <v>489</v>
      </c>
      <c r="NV8" s="46" t="s">
        <v>100</v>
      </c>
      <c r="NW8" s="47" t="s">
        <v>488</v>
      </c>
      <c r="NX8" s="47" t="s">
        <v>489</v>
      </c>
    </row>
    <row r="9" spans="1:388" ht="19.5" customHeight="1">
      <c r="C9" s="47" t="s">
        <v>513</v>
      </c>
      <c r="F9" s="47" t="s">
        <v>513</v>
      </c>
      <c r="I9" s="47" t="s">
        <v>513</v>
      </c>
      <c r="K9" s="47" t="s">
        <v>514</v>
      </c>
      <c r="L9" s="47" t="s">
        <v>298</v>
      </c>
      <c r="M9" s="47" t="s">
        <v>513</v>
      </c>
      <c r="O9" s="47" t="s">
        <v>514</v>
      </c>
      <c r="P9" s="47" t="s">
        <v>513</v>
      </c>
      <c r="R9" s="47" t="s">
        <v>514</v>
      </c>
      <c r="S9" s="47" t="s">
        <v>515</v>
      </c>
      <c r="T9" s="48" t="s">
        <v>513</v>
      </c>
      <c r="V9" s="47" t="s">
        <v>514</v>
      </c>
      <c r="W9" s="48" t="s">
        <v>513</v>
      </c>
      <c r="Y9" s="47" t="s">
        <v>514</v>
      </c>
      <c r="Z9" s="48" t="s">
        <v>513</v>
      </c>
      <c r="AB9" s="47" t="s">
        <v>514</v>
      </c>
      <c r="AC9" s="48" t="s">
        <v>513</v>
      </c>
      <c r="AF9" s="47" t="s">
        <v>513</v>
      </c>
      <c r="AH9" s="47" t="s">
        <v>514</v>
      </c>
      <c r="AI9" s="47" t="s">
        <v>513</v>
      </c>
      <c r="AK9" s="47" t="s">
        <v>514</v>
      </c>
      <c r="AM9" s="47" t="s">
        <v>513</v>
      </c>
      <c r="AO9" s="47" t="s">
        <v>514</v>
      </c>
      <c r="AQ9" s="47" t="s">
        <v>513</v>
      </c>
      <c r="AT9" s="47" t="s">
        <v>513</v>
      </c>
      <c r="AV9" s="47" t="s">
        <v>514</v>
      </c>
      <c r="AW9" s="46" t="s">
        <v>516</v>
      </c>
      <c r="AX9" s="47" t="s">
        <v>513</v>
      </c>
      <c r="BB9" s="47" t="s">
        <v>513</v>
      </c>
      <c r="BD9" s="47" t="s">
        <v>514</v>
      </c>
      <c r="BE9" s="47" t="s">
        <v>513</v>
      </c>
      <c r="BG9" s="47" t="s">
        <v>514</v>
      </c>
      <c r="BH9" s="47" t="s">
        <v>515</v>
      </c>
      <c r="BI9" s="48" t="s">
        <v>513</v>
      </c>
      <c r="BK9" s="47" t="s">
        <v>514</v>
      </c>
      <c r="BL9" s="48" t="s">
        <v>513</v>
      </c>
      <c r="BN9" s="47" t="s">
        <v>514</v>
      </c>
      <c r="BO9" s="48" t="s">
        <v>513</v>
      </c>
      <c r="BR9" s="47" t="s">
        <v>513</v>
      </c>
      <c r="BV9" s="47" t="s">
        <v>517</v>
      </c>
      <c r="BZ9" s="46" t="s">
        <v>518</v>
      </c>
      <c r="CA9" s="47">
        <v>18</v>
      </c>
      <c r="CB9" s="48" t="s">
        <v>519</v>
      </c>
      <c r="CE9" s="47" t="s">
        <v>520</v>
      </c>
      <c r="CG9" s="47" t="s">
        <v>521</v>
      </c>
      <c r="CK9" s="46" t="s">
        <v>519</v>
      </c>
      <c r="CL9" s="47">
        <v>18</v>
      </c>
      <c r="CN9" s="46" t="s">
        <v>522</v>
      </c>
      <c r="CO9" s="47" t="s">
        <v>523</v>
      </c>
      <c r="CQ9" s="47" t="s">
        <v>524</v>
      </c>
      <c r="CS9" s="47" t="s">
        <v>126</v>
      </c>
      <c r="CT9" s="47" t="s">
        <v>525</v>
      </c>
      <c r="CW9" s="47" t="s">
        <v>526</v>
      </c>
      <c r="CZ9" s="47" t="s">
        <v>101</v>
      </c>
      <c r="DA9" s="47">
        <v>1</v>
      </c>
      <c r="DB9" s="47" t="s">
        <v>527</v>
      </c>
      <c r="DD9" s="47" t="s">
        <v>298</v>
      </c>
      <c r="DE9" s="47" t="s">
        <v>528</v>
      </c>
      <c r="DF9" s="47" t="s">
        <v>101</v>
      </c>
      <c r="DG9" s="47" t="s">
        <v>529</v>
      </c>
      <c r="DH9" s="47">
        <v>1</v>
      </c>
      <c r="DI9" s="47" t="s">
        <v>527</v>
      </c>
      <c r="DM9" s="47" t="s">
        <v>101</v>
      </c>
      <c r="DN9" s="47" t="s">
        <v>529</v>
      </c>
      <c r="DO9" s="47">
        <v>1</v>
      </c>
      <c r="DS9" s="47" t="s">
        <v>530</v>
      </c>
      <c r="DT9" s="47" t="s">
        <v>101</v>
      </c>
      <c r="DU9" s="47" t="s">
        <v>529</v>
      </c>
      <c r="DV9" s="47">
        <v>1</v>
      </c>
      <c r="DY9" s="47" t="s">
        <v>101</v>
      </c>
      <c r="DZ9" s="47" t="s">
        <v>529</v>
      </c>
      <c r="EA9" s="47">
        <v>1</v>
      </c>
      <c r="ED9" s="47" t="s">
        <v>531</v>
      </c>
      <c r="EE9" s="47" t="s">
        <v>101</v>
      </c>
      <c r="EF9" s="47" t="s">
        <v>529</v>
      </c>
      <c r="EG9" s="47">
        <v>1</v>
      </c>
      <c r="EJ9" s="47" t="s">
        <v>532</v>
      </c>
      <c r="EK9" s="47" t="s">
        <v>533</v>
      </c>
      <c r="EL9" s="47" t="s">
        <v>101</v>
      </c>
      <c r="EM9" s="47" t="s">
        <v>529</v>
      </c>
      <c r="EN9" s="47">
        <v>1</v>
      </c>
      <c r="EO9" s="47" t="s">
        <v>527</v>
      </c>
      <c r="ER9" s="47" t="s">
        <v>531</v>
      </c>
      <c r="ES9" s="47" t="s">
        <v>101</v>
      </c>
      <c r="ET9" s="47" t="s">
        <v>534</v>
      </c>
      <c r="EU9" s="47" t="s">
        <v>529</v>
      </c>
      <c r="EV9" s="47">
        <v>1</v>
      </c>
      <c r="EY9" s="47" t="s">
        <v>531</v>
      </c>
      <c r="EZ9" s="47" t="s">
        <v>101</v>
      </c>
      <c r="FA9" s="47" t="s">
        <v>529</v>
      </c>
      <c r="FB9" s="47">
        <v>1</v>
      </c>
      <c r="FJ9" s="47" t="s">
        <v>101</v>
      </c>
      <c r="FK9" s="47" t="s">
        <v>131</v>
      </c>
      <c r="FN9" s="47" t="s">
        <v>535</v>
      </c>
      <c r="FQ9" s="47" t="s">
        <v>536</v>
      </c>
      <c r="FT9" s="47" t="s">
        <v>537</v>
      </c>
      <c r="FV9" s="47" t="s">
        <v>538</v>
      </c>
      <c r="FW9" s="47" t="s">
        <v>539</v>
      </c>
      <c r="FZ9" s="47" t="s">
        <v>540</v>
      </c>
      <c r="GD9" s="47" t="s">
        <v>298</v>
      </c>
      <c r="GF9" s="47" t="s">
        <v>541</v>
      </c>
      <c r="GJ9" s="47" t="s">
        <v>481</v>
      </c>
      <c r="GL9" s="47" t="s">
        <v>542</v>
      </c>
      <c r="GN9" s="47" t="s">
        <v>118</v>
      </c>
      <c r="GP9" s="47" t="s">
        <v>543</v>
      </c>
      <c r="GW9" s="47" t="s">
        <v>544</v>
      </c>
      <c r="GY9" s="47" t="s">
        <v>545</v>
      </c>
      <c r="GZ9" s="48" t="s">
        <v>546</v>
      </c>
      <c r="HA9" s="47" t="s">
        <v>547</v>
      </c>
      <c r="HC9" s="47" t="s">
        <v>548</v>
      </c>
      <c r="HE9" s="47" t="s">
        <v>545</v>
      </c>
      <c r="HF9" s="47" t="s">
        <v>549</v>
      </c>
      <c r="HG9" s="47" t="s">
        <v>547</v>
      </c>
      <c r="HI9" s="47" t="s">
        <v>548</v>
      </c>
      <c r="HK9" s="47" t="s">
        <v>545</v>
      </c>
      <c r="HL9" s="47" t="s">
        <v>547</v>
      </c>
      <c r="HN9" s="47" t="s">
        <v>548</v>
      </c>
      <c r="HP9" s="47" t="s">
        <v>545</v>
      </c>
      <c r="HQ9" s="46" t="s">
        <v>550</v>
      </c>
      <c r="HR9" s="47" t="s">
        <v>547</v>
      </c>
      <c r="HT9" s="47" t="s">
        <v>548</v>
      </c>
      <c r="HV9" s="47" t="s">
        <v>545</v>
      </c>
      <c r="HX9" s="47" t="s">
        <v>547</v>
      </c>
      <c r="HZ9" s="47" t="s">
        <v>548</v>
      </c>
      <c r="IB9" s="47" t="s">
        <v>545</v>
      </c>
      <c r="ID9" s="47" t="s">
        <v>547</v>
      </c>
      <c r="IF9" s="47" t="s">
        <v>548</v>
      </c>
      <c r="IH9" s="47" t="s">
        <v>545</v>
      </c>
      <c r="II9" s="47" t="s">
        <v>492</v>
      </c>
      <c r="IJ9" s="47" t="s">
        <v>547</v>
      </c>
      <c r="IL9" s="47" t="s">
        <v>548</v>
      </c>
      <c r="IN9" s="47" t="s">
        <v>545</v>
      </c>
      <c r="IO9" s="47" t="s">
        <v>551</v>
      </c>
      <c r="IP9" s="47" t="s">
        <v>547</v>
      </c>
      <c r="IR9" s="47" t="s">
        <v>548</v>
      </c>
      <c r="IT9" s="47" t="s">
        <v>545</v>
      </c>
      <c r="IV9" s="47" t="s">
        <v>547</v>
      </c>
      <c r="IX9" s="47" t="s">
        <v>548</v>
      </c>
      <c r="IZ9" s="47" t="s">
        <v>545</v>
      </c>
      <c r="JB9" s="47" t="s">
        <v>547</v>
      </c>
      <c r="JD9" s="47" t="s">
        <v>548</v>
      </c>
      <c r="JF9" s="47" t="s">
        <v>545</v>
      </c>
      <c r="JG9" s="47" t="s">
        <v>551</v>
      </c>
      <c r="JH9" s="47" t="s">
        <v>547</v>
      </c>
      <c r="JJ9" s="47" t="s">
        <v>548</v>
      </c>
      <c r="JM9" s="47" t="s">
        <v>552</v>
      </c>
      <c r="JO9" s="47" t="s">
        <v>545</v>
      </c>
      <c r="JP9" s="47" t="s">
        <v>547</v>
      </c>
      <c r="JR9" s="47" t="s">
        <v>548</v>
      </c>
      <c r="JT9" s="47" t="s">
        <v>126</v>
      </c>
      <c r="JX9" s="47" t="s">
        <v>126</v>
      </c>
      <c r="JZ9" s="47" t="s">
        <v>126</v>
      </c>
      <c r="KB9" s="47" t="s">
        <v>126</v>
      </c>
      <c r="KC9" s="47" t="s">
        <v>553</v>
      </c>
      <c r="KI9" s="47" t="s">
        <v>126</v>
      </c>
      <c r="KK9" s="47" t="s">
        <v>126</v>
      </c>
      <c r="KZ9" s="47" t="s">
        <v>126</v>
      </c>
      <c r="LB9" s="47" t="s">
        <v>554</v>
      </c>
      <c r="LD9" s="47" t="s">
        <v>555</v>
      </c>
      <c r="LE9" s="47" t="s">
        <v>556</v>
      </c>
      <c r="LF9" s="47">
        <v>4</v>
      </c>
      <c r="LG9" s="47" t="s">
        <v>557</v>
      </c>
      <c r="LI9" s="47" t="s">
        <v>118</v>
      </c>
      <c r="LN9" s="46" t="s">
        <v>118</v>
      </c>
      <c r="LO9" s="47" t="s">
        <v>558</v>
      </c>
      <c r="LS9" s="47" t="s">
        <v>118</v>
      </c>
      <c r="LW9" s="47" t="s">
        <v>559</v>
      </c>
      <c r="LY9" s="47" t="s">
        <v>118</v>
      </c>
      <c r="MA9" s="47" t="s">
        <v>560</v>
      </c>
      <c r="MC9" s="47" t="s">
        <v>118</v>
      </c>
      <c r="MG9" s="47" t="s">
        <v>559</v>
      </c>
      <c r="MI9" s="47" t="s">
        <v>118</v>
      </c>
      <c r="ML9" s="47" t="s">
        <v>118</v>
      </c>
      <c r="MM9" s="47" t="s">
        <v>518</v>
      </c>
      <c r="MQ9" s="47" t="s">
        <v>118</v>
      </c>
      <c r="MT9" s="47" t="s">
        <v>118</v>
      </c>
      <c r="MX9" s="47" t="s">
        <v>118</v>
      </c>
      <c r="NB9" s="47" t="s">
        <v>548</v>
      </c>
      <c r="NE9" s="47" t="s">
        <v>561</v>
      </c>
      <c r="NG9" s="47" t="s">
        <v>488</v>
      </c>
      <c r="NJ9" s="47" t="s">
        <v>562</v>
      </c>
      <c r="NK9" s="47" t="s">
        <v>548</v>
      </c>
      <c r="NN9" s="47" t="s">
        <v>548</v>
      </c>
      <c r="NQ9" s="47" t="s">
        <v>548</v>
      </c>
      <c r="NT9" s="47" t="s">
        <v>548</v>
      </c>
      <c r="NW9" s="47" t="s">
        <v>547</v>
      </c>
      <c r="NX9" s="47" t="s">
        <v>548</v>
      </c>
    </row>
    <row r="10" spans="1:388" ht="19.5" customHeight="1">
      <c r="C10" s="47" t="s">
        <v>563</v>
      </c>
      <c r="F10" s="47" t="s">
        <v>563</v>
      </c>
      <c r="I10" s="47" t="s">
        <v>563</v>
      </c>
      <c r="K10" s="47" t="s">
        <v>407</v>
      </c>
      <c r="M10" s="47" t="s">
        <v>563</v>
      </c>
      <c r="O10" s="47" t="s">
        <v>407</v>
      </c>
      <c r="P10" s="47" t="s">
        <v>563</v>
      </c>
      <c r="R10" s="47" t="s">
        <v>407</v>
      </c>
      <c r="S10" s="47" t="s">
        <v>564</v>
      </c>
      <c r="T10" s="48" t="s">
        <v>563</v>
      </c>
      <c r="V10" s="47" t="s">
        <v>407</v>
      </c>
      <c r="W10" s="48" t="s">
        <v>563</v>
      </c>
      <c r="Y10" s="47" t="s">
        <v>407</v>
      </c>
      <c r="Z10" s="48" t="s">
        <v>563</v>
      </c>
      <c r="AB10" s="47" t="s">
        <v>407</v>
      </c>
      <c r="AC10" s="48" t="s">
        <v>563</v>
      </c>
      <c r="AF10" s="47" t="s">
        <v>563</v>
      </c>
      <c r="AH10" s="47" t="s">
        <v>407</v>
      </c>
      <c r="AI10" s="47" t="s">
        <v>563</v>
      </c>
      <c r="AK10" s="47" t="s">
        <v>407</v>
      </c>
      <c r="AM10" s="47" t="s">
        <v>563</v>
      </c>
      <c r="AO10" s="47" t="s">
        <v>407</v>
      </c>
      <c r="AQ10" s="47" t="s">
        <v>563</v>
      </c>
      <c r="AT10" s="47" t="s">
        <v>563</v>
      </c>
      <c r="AV10" s="47" t="s">
        <v>407</v>
      </c>
      <c r="AX10" s="47" t="s">
        <v>563</v>
      </c>
      <c r="BB10" s="47" t="s">
        <v>563</v>
      </c>
      <c r="BD10" s="47" t="s">
        <v>407</v>
      </c>
      <c r="BE10" s="47" t="s">
        <v>563</v>
      </c>
      <c r="BG10" s="47" t="s">
        <v>407</v>
      </c>
      <c r="BH10" s="47" t="s">
        <v>564</v>
      </c>
      <c r="BI10" s="48" t="s">
        <v>563</v>
      </c>
      <c r="BK10" s="47" t="s">
        <v>407</v>
      </c>
      <c r="BL10" s="48" t="s">
        <v>563</v>
      </c>
      <c r="BN10" s="47" t="s">
        <v>407</v>
      </c>
      <c r="BO10" s="48" t="s">
        <v>563</v>
      </c>
      <c r="BR10" s="47" t="s">
        <v>563</v>
      </c>
      <c r="BZ10" s="46" t="s">
        <v>565</v>
      </c>
      <c r="CA10" s="47">
        <v>20</v>
      </c>
      <c r="CB10" s="48" t="s">
        <v>566</v>
      </c>
      <c r="CE10" s="47" t="s">
        <v>131</v>
      </c>
      <c r="CG10" s="47" t="s">
        <v>567</v>
      </c>
      <c r="CK10" s="46" t="s">
        <v>566</v>
      </c>
      <c r="CL10" s="47">
        <v>20</v>
      </c>
      <c r="CN10" s="46" t="s">
        <v>568</v>
      </c>
      <c r="CO10" s="47" t="s">
        <v>569</v>
      </c>
      <c r="CS10" s="47" t="s">
        <v>125</v>
      </c>
      <c r="CT10" s="47" t="s">
        <v>570</v>
      </c>
      <c r="CW10" s="47" t="s">
        <v>571</v>
      </c>
      <c r="CZ10" s="47" t="s">
        <v>100</v>
      </c>
      <c r="DA10" s="47">
        <v>0.5</v>
      </c>
      <c r="DB10" s="47" t="s">
        <v>572</v>
      </c>
      <c r="DF10" s="47" t="s">
        <v>100</v>
      </c>
      <c r="DG10" s="47" t="s">
        <v>573</v>
      </c>
      <c r="DH10" s="47">
        <v>0.5</v>
      </c>
      <c r="DI10" s="47" t="s">
        <v>572</v>
      </c>
      <c r="DM10" s="47" t="s">
        <v>100</v>
      </c>
      <c r="DN10" s="47" t="s">
        <v>573</v>
      </c>
      <c r="DO10" s="47">
        <v>0.5</v>
      </c>
      <c r="DT10" s="47" t="s">
        <v>100</v>
      </c>
      <c r="DU10" s="47" t="s">
        <v>573</v>
      </c>
      <c r="DV10" s="47">
        <v>0.5</v>
      </c>
      <c r="DY10" s="47" t="s">
        <v>100</v>
      </c>
      <c r="DZ10" s="47" t="s">
        <v>573</v>
      </c>
      <c r="EA10" s="47">
        <v>0.5</v>
      </c>
      <c r="ED10" s="47" t="s">
        <v>574</v>
      </c>
      <c r="EE10" s="47" t="s">
        <v>100</v>
      </c>
      <c r="EF10" s="47" t="s">
        <v>573</v>
      </c>
      <c r="EG10" s="47">
        <v>0.5</v>
      </c>
      <c r="EJ10" s="47" t="s">
        <v>575</v>
      </c>
      <c r="EL10" s="47" t="s">
        <v>100</v>
      </c>
      <c r="EM10" s="47" t="s">
        <v>573</v>
      </c>
      <c r="EN10" s="47">
        <v>0.5</v>
      </c>
      <c r="EO10" s="47" t="s">
        <v>572</v>
      </c>
      <c r="ER10" s="47" t="s">
        <v>574</v>
      </c>
      <c r="ES10" s="47" t="s">
        <v>100</v>
      </c>
      <c r="EU10" s="47" t="s">
        <v>573</v>
      </c>
      <c r="EV10" s="47">
        <v>0.5</v>
      </c>
      <c r="EY10" s="47" t="s">
        <v>574</v>
      </c>
      <c r="EZ10" s="47" t="s">
        <v>100</v>
      </c>
      <c r="FA10" s="47" t="s">
        <v>573</v>
      </c>
      <c r="FB10" s="47">
        <v>0.5</v>
      </c>
      <c r="FJ10" s="47" t="s">
        <v>100</v>
      </c>
      <c r="FQ10" s="47" t="s">
        <v>576</v>
      </c>
      <c r="FV10" s="47" t="s">
        <v>577</v>
      </c>
      <c r="GJ10" s="47" t="s">
        <v>578</v>
      </c>
      <c r="GN10" s="47" t="s">
        <v>100</v>
      </c>
      <c r="GP10" s="47" t="s">
        <v>579</v>
      </c>
      <c r="GY10" s="47" t="s">
        <v>580</v>
      </c>
      <c r="GZ10" s="48" t="s">
        <v>550</v>
      </c>
      <c r="HA10" s="47" t="s">
        <v>434</v>
      </c>
      <c r="HE10" s="47" t="s">
        <v>580</v>
      </c>
      <c r="HF10" s="47" t="s">
        <v>551</v>
      </c>
      <c r="HG10" s="47" t="s">
        <v>434</v>
      </c>
      <c r="HK10" s="47" t="s">
        <v>580</v>
      </c>
      <c r="HL10" s="47" t="s">
        <v>434</v>
      </c>
      <c r="HP10" s="47" t="s">
        <v>580</v>
      </c>
      <c r="HR10" s="47" t="s">
        <v>434</v>
      </c>
      <c r="HV10" s="47" t="s">
        <v>580</v>
      </c>
      <c r="HX10" s="47" t="s">
        <v>434</v>
      </c>
      <c r="IB10" s="47" t="s">
        <v>580</v>
      </c>
      <c r="ID10" s="47" t="s">
        <v>434</v>
      </c>
      <c r="IH10" s="47" t="s">
        <v>580</v>
      </c>
      <c r="IJ10" s="47" t="s">
        <v>434</v>
      </c>
      <c r="IN10" s="47" t="s">
        <v>580</v>
      </c>
      <c r="IO10" s="47" t="s">
        <v>546</v>
      </c>
      <c r="IP10" s="47" t="s">
        <v>434</v>
      </c>
      <c r="IT10" s="47" t="s">
        <v>580</v>
      </c>
      <c r="IV10" s="47" t="s">
        <v>434</v>
      </c>
      <c r="IZ10" s="47" t="s">
        <v>580</v>
      </c>
      <c r="JB10" s="47" t="s">
        <v>434</v>
      </c>
      <c r="JF10" s="47" t="s">
        <v>580</v>
      </c>
      <c r="JG10" s="47" t="s">
        <v>492</v>
      </c>
      <c r="JH10" s="47" t="s">
        <v>434</v>
      </c>
      <c r="JO10" s="47" t="s">
        <v>580</v>
      </c>
      <c r="JP10" s="47" t="s">
        <v>434</v>
      </c>
      <c r="JT10" s="47" t="s">
        <v>125</v>
      </c>
      <c r="JX10" s="47" t="s">
        <v>125</v>
      </c>
      <c r="JZ10" s="47" t="s">
        <v>125</v>
      </c>
      <c r="KB10" s="47" t="s">
        <v>125</v>
      </c>
      <c r="KI10" s="47" t="s">
        <v>125</v>
      </c>
      <c r="KK10" s="47" t="s">
        <v>125</v>
      </c>
      <c r="KZ10" s="47" t="s">
        <v>125</v>
      </c>
      <c r="LB10" s="47" t="s">
        <v>581</v>
      </c>
      <c r="LI10" s="47" t="s">
        <v>100</v>
      </c>
      <c r="LN10" s="46" t="s">
        <v>100</v>
      </c>
      <c r="LO10" s="47" t="s">
        <v>582</v>
      </c>
      <c r="LS10" s="47" t="s">
        <v>100</v>
      </c>
      <c r="LY10" s="47" t="s">
        <v>100</v>
      </c>
      <c r="MA10" s="47" t="s">
        <v>583</v>
      </c>
      <c r="MC10" s="47" t="s">
        <v>100</v>
      </c>
      <c r="MI10" s="47" t="s">
        <v>100</v>
      </c>
      <c r="ML10" s="47" t="s">
        <v>100</v>
      </c>
      <c r="MM10" s="47" t="s">
        <v>508</v>
      </c>
      <c r="MQ10" s="47" t="s">
        <v>100</v>
      </c>
      <c r="MT10" s="47" t="s">
        <v>100</v>
      </c>
      <c r="MX10" s="47" t="s">
        <v>100</v>
      </c>
      <c r="NG10" s="47" t="s">
        <v>409</v>
      </c>
      <c r="NJ10" s="47" t="s">
        <v>584</v>
      </c>
      <c r="NW10" s="47" t="s">
        <v>434</v>
      </c>
    </row>
    <row r="11" spans="1:388" ht="19.5" customHeight="1">
      <c r="K11" s="47" t="s">
        <v>126</v>
      </c>
      <c r="O11" s="47" t="s">
        <v>126</v>
      </c>
      <c r="R11" s="47" t="s">
        <v>126</v>
      </c>
      <c r="S11" s="47" t="s">
        <v>585</v>
      </c>
      <c r="V11" s="47" t="s">
        <v>126</v>
      </c>
      <c r="Y11" s="47" t="s">
        <v>126</v>
      </c>
      <c r="AB11" s="47" t="s">
        <v>126</v>
      </c>
      <c r="AH11" s="47" t="s">
        <v>126</v>
      </c>
      <c r="AK11" s="47" t="s">
        <v>126</v>
      </c>
      <c r="AO11" s="47" t="s">
        <v>126</v>
      </c>
      <c r="AV11" s="47" t="s">
        <v>126</v>
      </c>
      <c r="BD11" s="47" t="s">
        <v>126</v>
      </c>
      <c r="BG11" s="47" t="s">
        <v>126</v>
      </c>
      <c r="BH11" s="47" t="s">
        <v>585</v>
      </c>
      <c r="BK11" s="47" t="s">
        <v>126</v>
      </c>
      <c r="BN11" s="47" t="s">
        <v>126</v>
      </c>
      <c r="BZ11" s="46" t="s">
        <v>586</v>
      </c>
      <c r="CA11" s="47">
        <v>22</v>
      </c>
      <c r="CB11" s="48" t="s">
        <v>587</v>
      </c>
      <c r="CE11" s="47" t="s">
        <v>139</v>
      </c>
      <c r="CG11" s="47" t="s">
        <v>588</v>
      </c>
      <c r="CK11" s="46" t="s">
        <v>587</v>
      </c>
      <c r="CL11" s="47">
        <v>22</v>
      </c>
      <c r="CN11" s="46" t="s">
        <v>589</v>
      </c>
      <c r="CO11" s="47" t="s">
        <v>590</v>
      </c>
      <c r="CS11" s="47" t="s">
        <v>134</v>
      </c>
      <c r="CW11" s="47" t="s">
        <v>591</v>
      </c>
      <c r="DA11" s="47" t="s">
        <v>592</v>
      </c>
      <c r="DG11" s="47" t="s">
        <v>593</v>
      </c>
      <c r="DH11" s="47" t="s">
        <v>592</v>
      </c>
      <c r="DN11" s="47" t="s">
        <v>593</v>
      </c>
      <c r="DO11" s="47" t="s">
        <v>592</v>
      </c>
      <c r="DU11" s="47" t="s">
        <v>593</v>
      </c>
      <c r="DV11" s="47" t="s">
        <v>592</v>
      </c>
      <c r="DZ11" s="47" t="s">
        <v>593</v>
      </c>
      <c r="EA11" s="47" t="s">
        <v>592</v>
      </c>
      <c r="ED11" s="47" t="s">
        <v>594</v>
      </c>
      <c r="EF11" s="47" t="s">
        <v>593</v>
      </c>
      <c r="EG11" s="47" t="s">
        <v>592</v>
      </c>
      <c r="EJ11" s="47" t="s">
        <v>595</v>
      </c>
      <c r="EM11" s="47" t="s">
        <v>593</v>
      </c>
      <c r="EN11" s="47" t="s">
        <v>592</v>
      </c>
      <c r="ER11" s="47" t="s">
        <v>594</v>
      </c>
      <c r="EU11" s="47" t="s">
        <v>593</v>
      </c>
      <c r="EV11" s="47" t="s">
        <v>592</v>
      </c>
      <c r="EY11" s="47" t="s">
        <v>594</v>
      </c>
      <c r="FA11" s="47" t="s">
        <v>593</v>
      </c>
      <c r="FB11" s="47" t="s">
        <v>592</v>
      </c>
      <c r="FV11" s="47" t="s">
        <v>596</v>
      </c>
      <c r="GJ11" s="47" t="s">
        <v>597</v>
      </c>
      <c r="GN11" s="47" t="s">
        <v>450</v>
      </c>
      <c r="GP11" s="47" t="s">
        <v>598</v>
      </c>
      <c r="GY11" s="47" t="s">
        <v>125</v>
      </c>
      <c r="HA11" s="47" t="s">
        <v>511</v>
      </c>
      <c r="HE11" s="47" t="s">
        <v>125</v>
      </c>
      <c r="HF11" s="47" t="s">
        <v>492</v>
      </c>
      <c r="HG11" s="47" t="s">
        <v>511</v>
      </c>
      <c r="HK11" s="47" t="s">
        <v>125</v>
      </c>
      <c r="HL11" s="47" t="s">
        <v>511</v>
      </c>
      <c r="HP11" s="47" t="s">
        <v>125</v>
      </c>
      <c r="HR11" s="47" t="s">
        <v>511</v>
      </c>
      <c r="HV11" s="47" t="s">
        <v>125</v>
      </c>
      <c r="HX11" s="47" t="s">
        <v>511</v>
      </c>
      <c r="IB11" s="47" t="s">
        <v>125</v>
      </c>
      <c r="ID11" s="47" t="s">
        <v>511</v>
      </c>
      <c r="IH11" s="47" t="s">
        <v>125</v>
      </c>
      <c r="IJ11" s="47" t="s">
        <v>511</v>
      </c>
      <c r="IN11" s="47" t="s">
        <v>125</v>
      </c>
      <c r="IO11" s="47" t="s">
        <v>492</v>
      </c>
      <c r="IP11" s="47" t="s">
        <v>511</v>
      </c>
      <c r="IT11" s="47" t="s">
        <v>125</v>
      </c>
      <c r="IV11" s="47" t="s">
        <v>511</v>
      </c>
      <c r="IZ11" s="47" t="s">
        <v>125</v>
      </c>
      <c r="JB11" s="47" t="s">
        <v>511</v>
      </c>
      <c r="JF11" s="47" t="s">
        <v>125</v>
      </c>
      <c r="JG11" s="47" t="s">
        <v>491</v>
      </c>
      <c r="JH11" s="47" t="s">
        <v>511</v>
      </c>
      <c r="JO11" s="47" t="s">
        <v>125</v>
      </c>
      <c r="JP11" s="47" t="s">
        <v>511</v>
      </c>
      <c r="JT11" s="47" t="s">
        <v>134</v>
      </c>
      <c r="JX11" s="47" t="s">
        <v>134</v>
      </c>
      <c r="JZ11" s="47" t="s">
        <v>134</v>
      </c>
      <c r="KB11" s="47" t="s">
        <v>134</v>
      </c>
      <c r="KI11" s="47" t="s">
        <v>134</v>
      </c>
      <c r="KK11" s="47" t="s">
        <v>134</v>
      </c>
      <c r="KZ11" s="47" t="s">
        <v>134</v>
      </c>
      <c r="LI11" s="47" t="s">
        <v>450</v>
      </c>
      <c r="LN11" s="46" t="s">
        <v>450</v>
      </c>
      <c r="LO11" s="47" t="s">
        <v>599</v>
      </c>
      <c r="LY11" s="47" t="s">
        <v>450</v>
      </c>
      <c r="MA11" s="47" t="s">
        <v>600</v>
      </c>
      <c r="ML11" s="47" t="s">
        <v>450</v>
      </c>
      <c r="MQ11" s="47" t="s">
        <v>450</v>
      </c>
      <c r="MT11" s="47" t="s">
        <v>450</v>
      </c>
      <c r="MX11" s="47" t="s">
        <v>450</v>
      </c>
      <c r="NJ11" s="47" t="s">
        <v>601</v>
      </c>
      <c r="NW11" s="47" t="s">
        <v>511</v>
      </c>
    </row>
    <row r="12" spans="1:388" ht="19.5" customHeight="1">
      <c r="K12" s="47" t="s">
        <v>125</v>
      </c>
      <c r="O12" s="47" t="s">
        <v>125</v>
      </c>
      <c r="R12" s="47" t="s">
        <v>125</v>
      </c>
      <c r="S12" s="47" t="s">
        <v>602</v>
      </c>
      <c r="V12" s="47" t="s">
        <v>125</v>
      </c>
      <c r="Y12" s="47" t="s">
        <v>125</v>
      </c>
      <c r="AB12" s="47" t="s">
        <v>125</v>
      </c>
      <c r="AH12" s="47" t="s">
        <v>125</v>
      </c>
      <c r="AK12" s="47" t="s">
        <v>125</v>
      </c>
      <c r="AO12" s="47" t="s">
        <v>125</v>
      </c>
      <c r="AV12" s="47" t="s">
        <v>125</v>
      </c>
      <c r="BD12" s="47" t="s">
        <v>125</v>
      </c>
      <c r="BG12" s="47" t="s">
        <v>125</v>
      </c>
      <c r="BH12" s="47" t="s">
        <v>602</v>
      </c>
      <c r="BK12" s="47" t="s">
        <v>125</v>
      </c>
      <c r="BN12" s="47" t="s">
        <v>125</v>
      </c>
      <c r="BZ12" s="46" t="s">
        <v>603</v>
      </c>
      <c r="CA12" s="47">
        <v>24</v>
      </c>
      <c r="CE12" s="47" t="s">
        <v>604</v>
      </c>
      <c r="CG12" s="47" t="s">
        <v>605</v>
      </c>
      <c r="CL12" s="47">
        <v>24</v>
      </c>
      <c r="CN12" s="46" t="s">
        <v>606</v>
      </c>
      <c r="CO12" s="47" t="s">
        <v>607</v>
      </c>
      <c r="CS12" s="47" t="s">
        <v>100</v>
      </c>
      <c r="CW12" s="47" t="s">
        <v>608</v>
      </c>
      <c r="ED12" s="47" t="s">
        <v>609</v>
      </c>
      <c r="EJ12" s="47" t="s">
        <v>610</v>
      </c>
      <c r="ER12" s="47" t="s">
        <v>609</v>
      </c>
      <c r="EY12" s="47" t="s">
        <v>609</v>
      </c>
      <c r="FV12" s="47" t="s">
        <v>611</v>
      </c>
      <c r="GJ12" s="47" t="s">
        <v>612</v>
      </c>
      <c r="GP12" s="47" t="s">
        <v>613</v>
      </c>
      <c r="GY12" s="47" t="s">
        <v>130</v>
      </c>
      <c r="HA12" s="47" t="s">
        <v>614</v>
      </c>
      <c r="HE12" s="47" t="s">
        <v>130</v>
      </c>
      <c r="HF12" s="47" t="s">
        <v>550</v>
      </c>
      <c r="HG12" s="47" t="s">
        <v>614</v>
      </c>
      <c r="HK12" s="47" t="s">
        <v>130</v>
      </c>
      <c r="HL12" s="47" t="s">
        <v>614</v>
      </c>
      <c r="HP12" s="47" t="s">
        <v>130</v>
      </c>
      <c r="HR12" s="47" t="s">
        <v>614</v>
      </c>
      <c r="HV12" s="47" t="s">
        <v>130</v>
      </c>
      <c r="HX12" s="47" t="s">
        <v>614</v>
      </c>
      <c r="IB12" s="47" t="s">
        <v>130</v>
      </c>
      <c r="ID12" s="47" t="s">
        <v>614</v>
      </c>
      <c r="IH12" s="47" t="s">
        <v>130</v>
      </c>
      <c r="IJ12" s="47" t="s">
        <v>614</v>
      </c>
      <c r="IN12" s="47" t="s">
        <v>130</v>
      </c>
      <c r="IO12" s="47" t="s">
        <v>550</v>
      </c>
      <c r="IP12" s="47" t="s">
        <v>614</v>
      </c>
      <c r="IT12" s="47" t="s">
        <v>130</v>
      </c>
      <c r="IV12" s="47" t="s">
        <v>614</v>
      </c>
      <c r="IZ12" s="47" t="s">
        <v>130</v>
      </c>
      <c r="JB12" s="47" t="s">
        <v>614</v>
      </c>
      <c r="JF12" s="47" t="s">
        <v>130</v>
      </c>
      <c r="JH12" s="47" t="s">
        <v>614</v>
      </c>
      <c r="JO12" s="47" t="s">
        <v>130</v>
      </c>
      <c r="JP12" s="47" t="s">
        <v>614</v>
      </c>
      <c r="JT12" s="47" t="s">
        <v>100</v>
      </c>
      <c r="JX12" s="47" t="s">
        <v>100</v>
      </c>
      <c r="JZ12" s="47" t="s">
        <v>100</v>
      </c>
      <c r="KB12" s="47" t="s">
        <v>100</v>
      </c>
      <c r="KI12" s="47" t="s">
        <v>100</v>
      </c>
      <c r="KK12" s="47" t="s">
        <v>100</v>
      </c>
      <c r="KZ12" s="47" t="s">
        <v>100</v>
      </c>
      <c r="LO12" s="47" t="s">
        <v>508</v>
      </c>
      <c r="MA12" s="47" t="s">
        <v>615</v>
      </c>
      <c r="NJ12" s="47" t="s">
        <v>616</v>
      </c>
      <c r="NW12" s="47" t="s">
        <v>614</v>
      </c>
    </row>
    <row r="13" spans="1:388" ht="19.5" customHeight="1">
      <c r="K13" s="47" t="s">
        <v>130</v>
      </c>
      <c r="O13" s="47" t="s">
        <v>130</v>
      </c>
      <c r="R13" s="47" t="s">
        <v>130</v>
      </c>
      <c r="V13" s="47" t="s">
        <v>130</v>
      </c>
      <c r="Y13" s="47" t="s">
        <v>130</v>
      </c>
      <c r="AB13" s="47" t="s">
        <v>130</v>
      </c>
      <c r="AH13" s="47" t="s">
        <v>130</v>
      </c>
      <c r="AK13" s="47" t="s">
        <v>130</v>
      </c>
      <c r="AO13" s="47" t="s">
        <v>130</v>
      </c>
      <c r="AV13" s="47" t="s">
        <v>130</v>
      </c>
      <c r="BD13" s="47" t="s">
        <v>130</v>
      </c>
      <c r="BG13" s="47" t="s">
        <v>130</v>
      </c>
      <c r="BK13" s="47" t="s">
        <v>130</v>
      </c>
      <c r="BN13" s="47" t="s">
        <v>130</v>
      </c>
      <c r="BZ13" s="46" t="s">
        <v>617</v>
      </c>
      <c r="CA13" s="47">
        <v>26</v>
      </c>
      <c r="CE13" s="47" t="s">
        <v>307</v>
      </c>
      <c r="CG13" s="47" t="s">
        <v>618</v>
      </c>
      <c r="CL13" s="47">
        <v>26</v>
      </c>
      <c r="CN13" s="46" t="s">
        <v>619</v>
      </c>
      <c r="CO13" s="47" t="s">
        <v>620</v>
      </c>
      <c r="ED13" s="47" t="s">
        <v>621</v>
      </c>
      <c r="ER13" s="47" t="s">
        <v>621</v>
      </c>
      <c r="EY13" s="47" t="s">
        <v>621</v>
      </c>
      <c r="FV13" s="47" t="s">
        <v>622</v>
      </c>
      <c r="GJ13" s="47" t="s">
        <v>623</v>
      </c>
      <c r="GP13" s="47" t="s">
        <v>624</v>
      </c>
      <c r="GY13" s="47" t="s">
        <v>134</v>
      </c>
      <c r="HA13" s="47" t="s">
        <v>625</v>
      </c>
      <c r="HE13" s="47" t="s">
        <v>134</v>
      </c>
      <c r="HG13" s="47" t="s">
        <v>625</v>
      </c>
      <c r="HK13" s="47" t="s">
        <v>134</v>
      </c>
      <c r="HL13" s="47" t="s">
        <v>625</v>
      </c>
      <c r="HP13" s="47" t="s">
        <v>134</v>
      </c>
      <c r="HR13" s="47" t="s">
        <v>625</v>
      </c>
      <c r="HV13" s="47" t="s">
        <v>134</v>
      </c>
      <c r="HX13" s="47" t="s">
        <v>625</v>
      </c>
      <c r="IB13" s="47" t="s">
        <v>134</v>
      </c>
      <c r="ID13" s="47" t="s">
        <v>625</v>
      </c>
      <c r="IH13" s="47" t="s">
        <v>134</v>
      </c>
      <c r="IJ13" s="47" t="s">
        <v>625</v>
      </c>
      <c r="IN13" s="47" t="s">
        <v>134</v>
      </c>
      <c r="IP13" s="47" t="s">
        <v>625</v>
      </c>
      <c r="IT13" s="47" t="s">
        <v>134</v>
      </c>
      <c r="IV13" s="47" t="s">
        <v>625</v>
      </c>
      <c r="IZ13" s="47" t="s">
        <v>134</v>
      </c>
      <c r="JB13" s="47" t="s">
        <v>625</v>
      </c>
      <c r="JF13" s="47" t="s">
        <v>134</v>
      </c>
      <c r="JH13" s="47" t="s">
        <v>625</v>
      </c>
      <c r="JO13" s="47" t="s">
        <v>134</v>
      </c>
      <c r="JP13" s="47" t="s">
        <v>625</v>
      </c>
      <c r="LO13" s="47" t="s">
        <v>626</v>
      </c>
      <c r="MA13" s="47" t="s">
        <v>627</v>
      </c>
      <c r="NJ13" s="47" t="s">
        <v>628</v>
      </c>
      <c r="NW13" s="47" t="s">
        <v>625</v>
      </c>
    </row>
    <row r="14" spans="1:388" ht="19.5" customHeight="1">
      <c r="K14" s="47" t="s">
        <v>134</v>
      </c>
      <c r="O14" s="47" t="s">
        <v>134</v>
      </c>
      <c r="R14" s="47" t="s">
        <v>134</v>
      </c>
      <c r="V14" s="47" t="s">
        <v>134</v>
      </c>
      <c r="Y14" s="47" t="s">
        <v>134</v>
      </c>
      <c r="AB14" s="47" t="s">
        <v>134</v>
      </c>
      <c r="AH14" s="47" t="s">
        <v>134</v>
      </c>
      <c r="AK14" s="47" t="s">
        <v>134</v>
      </c>
      <c r="AO14" s="47" t="s">
        <v>134</v>
      </c>
      <c r="AV14" s="47" t="s">
        <v>134</v>
      </c>
      <c r="BD14" s="47" t="s">
        <v>134</v>
      </c>
      <c r="BG14" s="47" t="s">
        <v>134</v>
      </c>
      <c r="BK14" s="47" t="s">
        <v>134</v>
      </c>
      <c r="BN14" s="47" t="s">
        <v>134</v>
      </c>
      <c r="BZ14" s="46" t="s">
        <v>629</v>
      </c>
      <c r="CA14" s="47">
        <v>28</v>
      </c>
      <c r="CG14" s="47" t="s">
        <v>630</v>
      </c>
      <c r="CL14" s="47">
        <v>28</v>
      </c>
      <c r="CN14" s="46" t="s">
        <v>631</v>
      </c>
      <c r="CO14" s="47" t="s">
        <v>632</v>
      </c>
      <c r="ED14" s="47" t="s">
        <v>633</v>
      </c>
      <c r="ER14" s="47" t="s">
        <v>633</v>
      </c>
      <c r="EY14" s="47" t="s">
        <v>633</v>
      </c>
      <c r="FV14" s="47" t="s">
        <v>634</v>
      </c>
      <c r="GJ14" s="47" t="s">
        <v>635</v>
      </c>
      <c r="GP14" s="47" t="s">
        <v>636</v>
      </c>
      <c r="GY14" s="47" t="s">
        <v>100</v>
      </c>
      <c r="HA14" s="47" t="s">
        <v>637</v>
      </c>
      <c r="HE14" s="47" t="s">
        <v>100</v>
      </c>
      <c r="HG14" s="47" t="s">
        <v>637</v>
      </c>
      <c r="HK14" s="47" t="s">
        <v>100</v>
      </c>
      <c r="HL14" s="47" t="s">
        <v>637</v>
      </c>
      <c r="HP14" s="47" t="s">
        <v>100</v>
      </c>
      <c r="HR14" s="47" t="s">
        <v>637</v>
      </c>
      <c r="HV14" s="47" t="s">
        <v>100</v>
      </c>
      <c r="HX14" s="47" t="s">
        <v>637</v>
      </c>
      <c r="IB14" s="47" t="s">
        <v>100</v>
      </c>
      <c r="ID14" s="47" t="s">
        <v>637</v>
      </c>
      <c r="IH14" s="47" t="s">
        <v>100</v>
      </c>
      <c r="IJ14" s="47" t="s">
        <v>637</v>
      </c>
      <c r="IN14" s="47" t="s">
        <v>100</v>
      </c>
      <c r="IP14" s="47" t="s">
        <v>637</v>
      </c>
      <c r="IT14" s="47" t="s">
        <v>100</v>
      </c>
      <c r="IV14" s="47" t="s">
        <v>637</v>
      </c>
      <c r="IZ14" s="47" t="s">
        <v>100</v>
      </c>
      <c r="JB14" s="47" t="s">
        <v>637</v>
      </c>
      <c r="JF14" s="47" t="s">
        <v>100</v>
      </c>
      <c r="JH14" s="47" t="s">
        <v>637</v>
      </c>
      <c r="JO14" s="47" t="s">
        <v>100</v>
      </c>
      <c r="JP14" s="47" t="s">
        <v>637</v>
      </c>
      <c r="LO14" s="47" t="s">
        <v>638</v>
      </c>
      <c r="MA14" s="47" t="s">
        <v>639</v>
      </c>
      <c r="NJ14" s="47" t="s">
        <v>509</v>
      </c>
      <c r="NW14" s="47" t="s">
        <v>637</v>
      </c>
    </row>
    <row r="15" spans="1:388" ht="19.5" customHeight="1">
      <c r="K15" s="47" t="s">
        <v>100</v>
      </c>
      <c r="O15" s="47" t="s">
        <v>100</v>
      </c>
      <c r="R15" s="47" t="s">
        <v>100</v>
      </c>
      <c r="V15" s="47" t="s">
        <v>100</v>
      </c>
      <c r="Y15" s="47" t="s">
        <v>100</v>
      </c>
      <c r="AB15" s="47" t="s">
        <v>100</v>
      </c>
      <c r="AH15" s="47" t="s">
        <v>100</v>
      </c>
      <c r="AK15" s="47" t="s">
        <v>100</v>
      </c>
      <c r="AO15" s="47" t="s">
        <v>100</v>
      </c>
      <c r="AV15" s="47" t="s">
        <v>100</v>
      </c>
      <c r="BD15" s="47" t="s">
        <v>100</v>
      </c>
      <c r="BG15" s="47" t="s">
        <v>100</v>
      </c>
      <c r="BK15" s="47" t="s">
        <v>100</v>
      </c>
      <c r="BN15" s="47" t="s">
        <v>100</v>
      </c>
      <c r="CA15" s="47">
        <v>30</v>
      </c>
      <c r="CG15" s="47" t="s">
        <v>640</v>
      </c>
      <c r="CL15" s="47">
        <v>30</v>
      </c>
      <c r="CN15" s="46" t="s">
        <v>641</v>
      </c>
      <c r="CO15" s="47" t="s">
        <v>642</v>
      </c>
      <c r="ED15" s="47" t="s">
        <v>643</v>
      </c>
      <c r="ER15" s="47" t="s">
        <v>643</v>
      </c>
      <c r="EY15" s="47" t="s">
        <v>643</v>
      </c>
      <c r="FV15" s="47" t="s">
        <v>644</v>
      </c>
      <c r="GJ15" s="47" t="s">
        <v>645</v>
      </c>
      <c r="GP15" s="47" t="s">
        <v>646</v>
      </c>
      <c r="HA15" s="47" t="s">
        <v>647</v>
      </c>
      <c r="HG15" s="47" t="s">
        <v>647</v>
      </c>
      <c r="HL15" s="47" t="s">
        <v>647</v>
      </c>
      <c r="HR15" s="47" t="s">
        <v>647</v>
      </c>
      <c r="HX15" s="47" t="s">
        <v>647</v>
      </c>
      <c r="ID15" s="47" t="s">
        <v>647</v>
      </c>
      <c r="IJ15" s="47" t="s">
        <v>647</v>
      </c>
      <c r="IP15" s="47" t="s">
        <v>647</v>
      </c>
      <c r="IV15" s="47" t="s">
        <v>647</v>
      </c>
      <c r="JB15" s="47" t="s">
        <v>647</v>
      </c>
      <c r="JH15" s="47" t="s">
        <v>647</v>
      </c>
      <c r="JP15" s="47" t="s">
        <v>647</v>
      </c>
      <c r="NW15" s="47" t="s">
        <v>647</v>
      </c>
    </row>
    <row r="16" spans="1:388" ht="19.5" customHeight="1">
      <c r="CA16" s="47">
        <v>32</v>
      </c>
      <c r="CG16" s="47" t="s">
        <v>648</v>
      </c>
      <c r="CL16" s="47">
        <v>32</v>
      </c>
      <c r="CO16" s="47" t="s">
        <v>649</v>
      </c>
      <c r="ED16" s="47" t="s">
        <v>650</v>
      </c>
      <c r="ER16" s="47" t="s">
        <v>650</v>
      </c>
      <c r="EY16" s="47" t="s">
        <v>650</v>
      </c>
      <c r="GJ16" s="47" t="s">
        <v>651</v>
      </c>
      <c r="GP16" s="47" t="s">
        <v>652</v>
      </c>
    </row>
    <row r="17" spans="93:198" ht="19.5" customHeight="1">
      <c r="CO17" s="47" t="s">
        <v>653</v>
      </c>
      <c r="ED17" s="47" t="s">
        <v>654</v>
      </c>
      <c r="ER17" s="47" t="s">
        <v>654</v>
      </c>
      <c r="EY17" s="47" t="s">
        <v>654</v>
      </c>
      <c r="GJ17" s="47" t="s">
        <v>655</v>
      </c>
      <c r="GP17" s="47" t="s">
        <v>656</v>
      </c>
    </row>
    <row r="18" spans="93:198" ht="19.5" customHeight="1">
      <c r="CO18" s="47" t="s">
        <v>657</v>
      </c>
      <c r="ED18" s="47" t="s">
        <v>658</v>
      </c>
      <c r="ER18" s="47" t="s">
        <v>658</v>
      </c>
      <c r="EY18" s="47" t="s">
        <v>658</v>
      </c>
      <c r="GJ18" s="47" t="s">
        <v>659</v>
      </c>
      <c r="GP18" s="47" t="s">
        <v>660</v>
      </c>
    </row>
    <row r="19" spans="93:198" ht="19.5" customHeight="1">
      <c r="CO19" s="47" t="s">
        <v>661</v>
      </c>
      <c r="ED19" s="47" t="s">
        <v>662</v>
      </c>
      <c r="ER19" s="47" t="s">
        <v>662</v>
      </c>
      <c r="EY19" s="47" t="s">
        <v>662</v>
      </c>
      <c r="GJ19" s="47" t="s">
        <v>663</v>
      </c>
    </row>
    <row r="20" spans="93:198" ht="19.5" customHeight="1">
      <c r="CO20" s="47" t="s">
        <v>664</v>
      </c>
      <c r="ED20" s="47" t="s">
        <v>665</v>
      </c>
      <c r="ER20" s="47" t="s">
        <v>665</v>
      </c>
      <c r="EY20" s="47" t="s">
        <v>665</v>
      </c>
      <c r="GJ20" s="47" t="s">
        <v>666</v>
      </c>
    </row>
    <row r="21" spans="93:198" ht="19.5" customHeight="1">
      <c r="CO21" s="47" t="s">
        <v>667</v>
      </c>
      <c r="ED21" s="47" t="s">
        <v>668</v>
      </c>
      <c r="ER21" s="47" t="s">
        <v>668</v>
      </c>
      <c r="EY21" s="47" t="s">
        <v>668</v>
      </c>
      <c r="GJ21" s="47" t="s">
        <v>669</v>
      </c>
    </row>
    <row r="22" spans="93:198" ht="19.5" customHeight="1">
      <c r="CO22" s="47" t="s">
        <v>670</v>
      </c>
      <c r="ED22" s="47" t="s">
        <v>671</v>
      </c>
      <c r="ER22" s="47" t="s">
        <v>671</v>
      </c>
      <c r="EY22" s="47" t="s">
        <v>671</v>
      </c>
      <c r="GJ22" s="47" t="s">
        <v>672</v>
      </c>
    </row>
    <row r="23" spans="93:198" ht="19.5" customHeight="1">
      <c r="CO23" s="47" t="s">
        <v>673</v>
      </c>
      <c r="GJ23" s="47" t="s">
        <v>674</v>
      </c>
    </row>
    <row r="24" spans="93:198" ht="19.5" customHeight="1">
      <c r="CO24" s="47" t="s">
        <v>675</v>
      </c>
      <c r="GJ24" s="47" t="s">
        <v>676</v>
      </c>
    </row>
    <row r="25" spans="93:198" ht="19.5" customHeight="1">
      <c r="CO25" s="47" t="s">
        <v>677</v>
      </c>
      <c r="GJ25" s="47" t="s">
        <v>678</v>
      </c>
    </row>
    <row r="26" spans="93:198" ht="19.5" customHeight="1">
      <c r="CO26" s="47" t="s">
        <v>679</v>
      </c>
      <c r="GJ26" s="47" t="s">
        <v>680</v>
      </c>
    </row>
    <row r="27" spans="93:198" ht="19.5" customHeight="1">
      <c r="CO27" s="47" t="s">
        <v>681</v>
      </c>
      <c r="GJ27" s="47" t="s">
        <v>682</v>
      </c>
    </row>
    <row r="28" spans="93:198" ht="19.5" customHeight="1">
      <c r="CO28" s="47" t="s">
        <v>683</v>
      </c>
      <c r="GJ28" s="47" t="s">
        <v>684</v>
      </c>
    </row>
    <row r="29" spans="93:198" ht="19.5" customHeight="1">
      <c r="GJ29" s="47" t="s">
        <v>685</v>
      </c>
    </row>
    <row r="30" spans="93:198" ht="19.5" customHeight="1">
      <c r="GJ30" s="47" t="s">
        <v>686</v>
      </c>
    </row>
    <row r="31" spans="93:198" ht="19.5" customHeight="1">
      <c r="GJ31" s="47" t="s">
        <v>687</v>
      </c>
    </row>
    <row r="32" spans="93:198" ht="19.5" customHeight="1">
      <c r="GJ32" s="47" t="s">
        <v>688</v>
      </c>
    </row>
    <row r="33" spans="192:192" ht="19.5" customHeight="1">
      <c r="GJ33" s="47" t="s">
        <v>689</v>
      </c>
    </row>
    <row r="34" spans="192:192" ht="19.5" customHeight="1">
      <c r="GJ34" s="47" t="s">
        <v>690</v>
      </c>
    </row>
    <row r="35" spans="192:192" ht="19.5" customHeight="1">
      <c r="GJ35" s="47" t="s">
        <v>691</v>
      </c>
    </row>
    <row r="36" spans="192:192" ht="19.5" customHeight="1">
      <c r="GJ36" s="47" t="s">
        <v>692</v>
      </c>
    </row>
    <row r="37" spans="192:192" ht="19.5" customHeight="1">
      <c r="GJ37" s="47" t="s">
        <v>693</v>
      </c>
    </row>
    <row r="38" spans="192:192" ht="19.5" customHeight="1">
      <c r="GJ38" s="47" t="s">
        <v>694</v>
      </c>
    </row>
    <row r="39" spans="192:192" ht="19.5" customHeight="1">
      <c r="GJ39" s="47" t="s">
        <v>695</v>
      </c>
    </row>
    <row r="40" spans="192:192" ht="19.5" customHeight="1">
      <c r="GJ40" s="47" t="s">
        <v>696</v>
      </c>
    </row>
    <row r="41" spans="192:192" ht="19.5" customHeight="1">
      <c r="GJ41" s="47" t="s">
        <v>697</v>
      </c>
    </row>
    <row r="42" spans="192:192" ht="19.5" customHeight="1">
      <c r="GJ42" s="47" t="s">
        <v>698</v>
      </c>
    </row>
    <row r="43" spans="192:192" ht="19.5" customHeight="1">
      <c r="GJ43" s="47" t="s">
        <v>699</v>
      </c>
    </row>
    <row r="44" spans="192:192" ht="19.5" customHeight="1">
      <c r="GJ44" s="47" t="s">
        <v>700</v>
      </c>
    </row>
    <row r="45" spans="192:192" ht="19.5" customHeight="1">
      <c r="GJ45" s="47" t="s">
        <v>701</v>
      </c>
    </row>
    <row r="46" spans="192:192" ht="19.5" customHeight="1">
      <c r="GJ46" s="47" t="s">
        <v>702</v>
      </c>
    </row>
    <row r="47" spans="192:192" ht="19.5" customHeight="1">
      <c r="GJ47" s="47" t="s">
        <v>703</v>
      </c>
    </row>
    <row r="48" spans="192:192" ht="19.5" customHeight="1">
      <c r="GJ48" s="47" t="s">
        <v>704</v>
      </c>
    </row>
    <row r="49" spans="192:192" ht="19.5" customHeight="1">
      <c r="GJ49" s="47" t="s">
        <v>705</v>
      </c>
    </row>
    <row r="50" spans="192:192" ht="19.5" customHeight="1">
      <c r="GJ50" s="47" t="s">
        <v>706</v>
      </c>
    </row>
    <row r="51" spans="192:192" ht="19.5" customHeight="1">
      <c r="GJ51" s="47" t="s">
        <v>707</v>
      </c>
    </row>
    <row r="52" spans="192:192" ht="19.5" customHeight="1">
      <c r="GJ52" s="47" t="s">
        <v>708</v>
      </c>
    </row>
    <row r="53" spans="192:192" ht="19.5" customHeight="1">
      <c r="GJ53" s="47" t="s">
        <v>709</v>
      </c>
    </row>
    <row r="54" spans="192:192" ht="19.5" customHeight="1">
      <c r="GJ54" s="47" t="s">
        <v>710</v>
      </c>
    </row>
    <row r="55" spans="192:192" ht="19.5" customHeight="1">
      <c r="GJ55" s="47" t="s">
        <v>711</v>
      </c>
    </row>
    <row r="56" spans="192:192" ht="19.5" customHeight="1">
      <c r="GJ56" s="47" t="s">
        <v>712</v>
      </c>
    </row>
    <row r="57" spans="192:192" ht="19.5" customHeight="1">
      <c r="GJ57" s="47" t="s">
        <v>713</v>
      </c>
    </row>
    <row r="58" spans="192:192" ht="19.5" customHeight="1">
      <c r="GJ58" s="47" t="s">
        <v>714</v>
      </c>
    </row>
    <row r="59" spans="192:192" ht="19.5" customHeight="1">
      <c r="GJ59" s="47" t="s">
        <v>715</v>
      </c>
    </row>
    <row r="60" spans="192:192" ht="19.5" customHeight="1">
      <c r="GJ60" s="47" t="s">
        <v>716</v>
      </c>
    </row>
    <row r="61" spans="192:192" ht="19.5" customHeight="1">
      <c r="GJ61" s="47" t="s">
        <v>717</v>
      </c>
    </row>
    <row r="62" spans="192:192" ht="19.5" customHeight="1">
      <c r="GJ62" s="47" t="s">
        <v>718</v>
      </c>
    </row>
    <row r="63" spans="192:192" ht="19.5" customHeight="1">
      <c r="GJ63" s="47" t="s">
        <v>719</v>
      </c>
    </row>
    <row r="64" spans="192:192" ht="19.5" customHeight="1">
      <c r="GJ64" s="47" t="s">
        <v>720</v>
      </c>
    </row>
    <row r="65" spans="192:192" ht="19.5" customHeight="1">
      <c r="GJ65" s="47" t="s">
        <v>721</v>
      </c>
    </row>
    <row r="66" spans="192:192" ht="19.5" customHeight="1">
      <c r="GJ66" s="47" t="s">
        <v>722</v>
      </c>
    </row>
    <row r="92" spans="2:363" s="49" customFormat="1" ht="19.5" customHeight="1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L92" s="25"/>
      <c r="GO92" s="25"/>
      <c r="GV92" s="25"/>
      <c r="LK92" s="25"/>
      <c r="LP92" s="25"/>
      <c r="LV92" s="25"/>
      <c r="LZ92" s="25"/>
      <c r="MF92" s="25"/>
      <c r="MJ92" s="25"/>
      <c r="MN92" s="25"/>
      <c r="MR92" s="25"/>
      <c r="MU92" s="25"/>
      <c r="MY92" s="25"/>
    </row>
    <row r="94" spans="2:363" s="50" customFormat="1" ht="19.5" customHeight="1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L94" s="25"/>
      <c r="GO94" s="25"/>
      <c r="GV94" s="25"/>
      <c r="LK94" s="25"/>
      <c r="LP94" s="25"/>
      <c r="LV94" s="25"/>
      <c r="LZ94" s="25"/>
      <c r="MF94" s="25"/>
      <c r="MJ94" s="25"/>
      <c r="MN94" s="25"/>
      <c r="MR94" s="25"/>
      <c r="MU94" s="25"/>
      <c r="MY94" s="25"/>
    </row>
  </sheetData>
  <mergeCells count="88">
    <mergeCell ref="LI2:MY2"/>
    <mergeCell ref="NM4:NN4"/>
    <mergeCell ref="GN2:GW2"/>
    <mergeCell ref="MC4:MG4"/>
    <mergeCell ref="HV4:HZ4"/>
    <mergeCell ref="MI4:MJ4"/>
    <mergeCell ref="LI4:LL4"/>
    <mergeCell ref="GT4:GW4"/>
    <mergeCell ref="MX4:MY4"/>
    <mergeCell ref="IH4:IL4"/>
    <mergeCell ref="IT4:IX4"/>
    <mergeCell ref="LB2:LG2"/>
    <mergeCell ref="GY2:JR2"/>
    <mergeCell ref="JO4:JR4"/>
    <mergeCell ref="NA4:NB4"/>
    <mergeCell ref="MT4:MV4"/>
    <mergeCell ref="B4:C4"/>
    <mergeCell ref="CD4:CE4"/>
    <mergeCell ref="R4:T4"/>
    <mergeCell ref="EY4:FC4"/>
    <mergeCell ref="HP4:HT4"/>
    <mergeCell ref="AH4:AI4"/>
    <mergeCell ref="BT4:BV4"/>
    <mergeCell ref="Y4:Z4"/>
    <mergeCell ref="FV4:FX4"/>
    <mergeCell ref="HK4:HN4"/>
    <mergeCell ref="AE4:AF4"/>
    <mergeCell ref="DY4:EB4"/>
    <mergeCell ref="CI4:CL4"/>
    <mergeCell ref="AK4:AM4"/>
    <mergeCell ref="B2:BR2"/>
    <mergeCell ref="DD4:DJ4"/>
    <mergeCell ref="BN4:BO4"/>
    <mergeCell ref="CY4:DB4"/>
    <mergeCell ref="E4:F4"/>
    <mergeCell ref="BX4:CB4"/>
    <mergeCell ref="BQ4:BR4"/>
    <mergeCell ref="AO4:AQ4"/>
    <mergeCell ref="CS2:CW2"/>
    <mergeCell ref="BK4:BL4"/>
    <mergeCell ref="K4:M4"/>
    <mergeCell ref="CS4:CT4"/>
    <mergeCell ref="LN4:LQ4"/>
    <mergeCell ref="AS4:AT4"/>
    <mergeCell ref="BG4:BI4"/>
    <mergeCell ref="EJ4:EP4"/>
    <mergeCell ref="AV4:AX4"/>
    <mergeCell ref="DR4:DW4"/>
    <mergeCell ref="LD4:LG4"/>
    <mergeCell ref="GN4:GP4"/>
    <mergeCell ref="DL4:DP4"/>
    <mergeCell ref="CN4:CQ4"/>
    <mergeCell ref="GB4:GD4"/>
    <mergeCell ref="FG4:FL4"/>
    <mergeCell ref="ED4:EH4"/>
    <mergeCell ref="ER4:EW4"/>
    <mergeCell ref="MQ4:MR4"/>
    <mergeCell ref="LY4:MA4"/>
    <mergeCell ref="NA2:NX2"/>
    <mergeCell ref="FP4:FQ4"/>
    <mergeCell ref="NS4:NT4"/>
    <mergeCell ref="GY4:HC4"/>
    <mergeCell ref="FS4:FT4"/>
    <mergeCell ref="NV4:NX4"/>
    <mergeCell ref="JF4:JJ4"/>
    <mergeCell ref="KU4:KV4"/>
    <mergeCell ref="NI4:NK4"/>
    <mergeCell ref="NP4:NQ4"/>
    <mergeCell ref="ND4:NG4"/>
    <mergeCell ref="ML4:MO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CY2:FL2"/>
    <mergeCell ref="IB4:IF4"/>
    <mergeCell ref="IN4:IR4"/>
    <mergeCell ref="HE4:HI4"/>
    <mergeCell ref="FN2:GL2"/>
    <mergeCell ref="O4:P4"/>
  </mergeCells>
  <phoneticPr fontId="16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BB59"/>
  </sheetPr>
  <dimension ref="A2:AK300"/>
  <sheetViews>
    <sheetView tabSelected="1" topLeftCell="E1" zoomScale="85" zoomScaleNormal="85" workbookViewId="0">
      <pane ySplit="9" topLeftCell="A77" activePane="bottomLeft" state="frozen"/>
      <selection pane="bottomLeft" activeCell="O94" sqref="O94"/>
    </sheetView>
  </sheetViews>
  <sheetFormatPr defaultColWidth="9" defaultRowHeight="16.5"/>
  <cols>
    <col min="1" max="2" width="9" style="51" customWidth="1"/>
    <col min="3" max="5" width="20.625" style="51" customWidth="1"/>
    <col min="6" max="7" width="20.625" style="52" customWidth="1"/>
    <col min="8" max="8" width="12.375" style="51" customWidth="1"/>
    <col min="9" max="9" width="18.5" style="51" customWidth="1"/>
    <col min="10" max="10" width="37.875" style="51" customWidth="1"/>
    <col min="11" max="29" width="15.625" style="51" customWidth="1"/>
    <col min="30" max="30" width="15.125" style="52" customWidth="1"/>
    <col min="31" max="37" width="12.375" style="51" customWidth="1"/>
    <col min="38" max="40" width="9" style="51" customWidth="1"/>
    <col min="41" max="16384" width="9" style="51"/>
  </cols>
  <sheetData>
    <row r="2" spans="2:37" ht="16.5" customHeight="1">
      <c r="B2" s="97" t="s">
        <v>723</v>
      </c>
      <c r="C2" s="96"/>
      <c r="D2" s="96"/>
      <c r="E2" s="53"/>
      <c r="F2" s="52" t="s">
        <v>724</v>
      </c>
      <c r="J2" s="95" t="s">
        <v>725</v>
      </c>
      <c r="K2" s="96"/>
      <c r="L2" s="54"/>
    </row>
    <row r="3" spans="2:37" ht="16.5" customHeight="1">
      <c r="B3" s="96"/>
      <c r="C3" s="96"/>
      <c r="D3" s="96"/>
      <c r="E3" s="55"/>
      <c r="F3" s="52" t="s">
        <v>726</v>
      </c>
      <c r="J3" s="95" t="s">
        <v>727</v>
      </c>
      <c r="K3" s="96"/>
      <c r="L3" s="56"/>
    </row>
    <row r="4" spans="2:37" ht="16.5" customHeight="1">
      <c r="B4" s="96"/>
      <c r="C4" s="96"/>
      <c r="D4" s="96"/>
      <c r="J4" s="95" t="s">
        <v>728</v>
      </c>
      <c r="K4" s="96"/>
      <c r="L4" s="57"/>
    </row>
    <row r="5" spans="2:37" ht="16.5" customHeight="1">
      <c r="B5" s="25"/>
      <c r="C5" s="25"/>
      <c r="D5" s="25"/>
      <c r="J5" s="95" t="s">
        <v>729</v>
      </c>
      <c r="K5" s="96"/>
      <c r="L5" s="58"/>
    </row>
    <row r="6" spans="2:37" ht="16.5" customHeight="1">
      <c r="B6" s="25"/>
      <c r="C6" s="25"/>
      <c r="D6" s="25"/>
    </row>
    <row r="7" spans="2:37" ht="16.5" customHeight="1">
      <c r="B7" s="25"/>
      <c r="C7" s="25"/>
      <c r="D7" s="25"/>
    </row>
    <row r="9" spans="2:37" ht="16.5" customHeight="1">
      <c r="B9" s="59"/>
      <c r="C9" s="60" t="s">
        <v>730</v>
      </c>
      <c r="D9" s="60" t="s">
        <v>731</v>
      </c>
      <c r="E9" s="59" t="s">
        <v>732</v>
      </c>
      <c r="F9" s="61" t="s">
        <v>1</v>
      </c>
      <c r="G9" s="62" t="s">
        <v>733</v>
      </c>
      <c r="H9" s="63" t="s">
        <v>734</v>
      </c>
      <c r="I9" s="63" t="s">
        <v>867</v>
      </c>
      <c r="J9" s="63" t="s">
        <v>868</v>
      </c>
      <c r="K9" s="59" t="s">
        <v>735</v>
      </c>
      <c r="L9" s="59" t="s">
        <v>736</v>
      </c>
      <c r="M9" s="59" t="s">
        <v>737</v>
      </c>
      <c r="N9" s="59" t="s">
        <v>738</v>
      </c>
      <c r="O9" s="59" t="s">
        <v>739</v>
      </c>
      <c r="P9" s="59" t="s">
        <v>740</v>
      </c>
      <c r="Q9" s="59" t="s">
        <v>741</v>
      </c>
      <c r="R9" s="59" t="s">
        <v>742</v>
      </c>
      <c r="S9" s="59" t="s">
        <v>743</v>
      </c>
      <c r="T9" s="59" t="s">
        <v>744</v>
      </c>
      <c r="U9" s="59" t="s">
        <v>745</v>
      </c>
      <c r="V9" s="59" t="s">
        <v>746</v>
      </c>
      <c r="W9" s="59" t="s">
        <v>747</v>
      </c>
      <c r="X9" s="59" t="s">
        <v>748</v>
      </c>
      <c r="Y9" s="59" t="s">
        <v>749</v>
      </c>
      <c r="Z9" s="59" t="s">
        <v>750</v>
      </c>
      <c r="AA9" s="59" t="s">
        <v>751</v>
      </c>
      <c r="AB9" s="59" t="s">
        <v>752</v>
      </c>
      <c r="AC9" s="59" t="s">
        <v>753</v>
      </c>
      <c r="AD9" s="62" t="s">
        <v>754</v>
      </c>
      <c r="AE9" s="59" t="s">
        <v>755</v>
      </c>
      <c r="AF9" s="59" t="s">
        <v>756</v>
      </c>
      <c r="AG9" s="59" t="s">
        <v>757</v>
      </c>
      <c r="AH9" s="59" t="s">
        <v>758</v>
      </c>
      <c r="AI9" s="59" t="s">
        <v>759</v>
      </c>
      <c r="AJ9" s="59" t="s">
        <v>760</v>
      </c>
      <c r="AK9" s="59" t="s">
        <v>761</v>
      </c>
    </row>
    <row r="10" spans="2:37" ht="14.25" customHeight="1">
      <c r="D10" s="64"/>
      <c r="E10" s="64"/>
      <c r="F10" s="65"/>
      <c r="G10" s="65"/>
      <c r="H10" s="66" t="s">
        <v>762</v>
      </c>
      <c r="I10" s="64" t="s">
        <v>129</v>
      </c>
      <c r="J10" s="64" t="s">
        <v>215</v>
      </c>
      <c r="K10" s="67" t="s">
        <v>315</v>
      </c>
      <c r="L10" s="68" t="s">
        <v>763</v>
      </c>
      <c r="M10" s="68" t="s">
        <v>764</v>
      </c>
      <c r="N10" s="69" t="s">
        <v>765</v>
      </c>
      <c r="O10" s="70" t="s">
        <v>766</v>
      </c>
      <c r="P10" s="69" t="s">
        <v>767</v>
      </c>
      <c r="Q10" s="69" t="s">
        <v>316</v>
      </c>
      <c r="R10" s="64" t="s">
        <v>768</v>
      </c>
      <c r="S10" s="64" t="s">
        <v>769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71"/>
      <c r="AE10" s="72"/>
      <c r="AF10" s="72"/>
      <c r="AG10" s="72"/>
      <c r="AH10" s="72"/>
      <c r="AI10" s="72"/>
      <c r="AJ10" s="72"/>
      <c r="AK10" s="72"/>
    </row>
    <row r="11" spans="2:37" ht="14.25" customHeight="1">
      <c r="D11" s="64"/>
      <c r="E11" s="64"/>
      <c r="F11" s="65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71"/>
      <c r="AE11" s="72"/>
      <c r="AF11" s="72"/>
      <c r="AG11" s="72"/>
      <c r="AH11" s="72"/>
      <c r="AI11" s="72"/>
      <c r="AJ11" s="72"/>
      <c r="AK11" s="72"/>
    </row>
    <row r="12" spans="2:37" ht="14.25" customHeight="1">
      <c r="D12" s="64"/>
      <c r="E12" s="64"/>
      <c r="F12" s="65"/>
      <c r="G12" s="65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71"/>
      <c r="AE12" s="72"/>
      <c r="AF12" s="72"/>
      <c r="AG12" s="72"/>
      <c r="AH12" s="72"/>
      <c r="AI12" s="72"/>
      <c r="AJ12" s="72"/>
      <c r="AK12" s="72"/>
    </row>
    <row r="13" spans="2:37" ht="14.25" customHeight="1">
      <c r="D13" s="64"/>
      <c r="E13" s="64"/>
      <c r="F13" s="65"/>
      <c r="G13" s="65"/>
      <c r="H13" s="66" t="s">
        <v>762</v>
      </c>
      <c r="I13" s="64" t="s">
        <v>129</v>
      </c>
      <c r="J13" s="64" t="s">
        <v>216</v>
      </c>
      <c r="K13" s="67" t="s">
        <v>315</v>
      </c>
      <c r="L13" s="68" t="s">
        <v>763</v>
      </c>
      <c r="M13" s="68" t="s">
        <v>764</v>
      </c>
      <c r="N13" s="69" t="s">
        <v>765</v>
      </c>
      <c r="O13" s="70" t="s">
        <v>766</v>
      </c>
      <c r="P13" s="69" t="s">
        <v>767</v>
      </c>
      <c r="Q13" s="69" t="s">
        <v>316</v>
      </c>
      <c r="R13" s="64" t="s">
        <v>768</v>
      </c>
      <c r="S13" s="64" t="s">
        <v>769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71"/>
      <c r="AE13" s="72"/>
      <c r="AF13" s="72"/>
      <c r="AG13" s="72"/>
      <c r="AH13" s="72"/>
      <c r="AI13" s="72"/>
      <c r="AJ13" s="72"/>
      <c r="AK13" s="72"/>
    </row>
    <row r="14" spans="2:37" ht="14.25" customHeight="1">
      <c r="D14" s="64"/>
      <c r="E14" s="64"/>
      <c r="F14" s="65"/>
      <c r="G14" s="65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71"/>
      <c r="AE14" s="72"/>
      <c r="AF14" s="72"/>
      <c r="AG14" s="72"/>
      <c r="AH14" s="72"/>
      <c r="AI14" s="72"/>
      <c r="AJ14" s="72"/>
      <c r="AK14" s="72"/>
    </row>
    <row r="15" spans="2:37" ht="14.25" customHeight="1">
      <c r="D15" s="64"/>
      <c r="E15" s="64"/>
      <c r="F15" s="65"/>
      <c r="G15" s="65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71"/>
      <c r="AE15" s="72"/>
      <c r="AF15" s="72"/>
      <c r="AG15" s="72"/>
      <c r="AH15" s="72"/>
      <c r="AI15" s="72"/>
      <c r="AJ15" s="72"/>
      <c r="AK15" s="72"/>
    </row>
    <row r="16" spans="2:37" ht="14.25" customHeight="1">
      <c r="D16" s="64"/>
      <c r="E16" s="64"/>
      <c r="F16" s="65"/>
      <c r="G16" s="65"/>
      <c r="H16" s="66" t="s">
        <v>762</v>
      </c>
      <c r="I16" s="64" t="s">
        <v>129</v>
      </c>
      <c r="J16" s="64" t="s">
        <v>217</v>
      </c>
      <c r="K16" s="67" t="s">
        <v>315</v>
      </c>
      <c r="L16" s="68" t="s">
        <v>763</v>
      </c>
      <c r="M16" s="68" t="s">
        <v>764</v>
      </c>
      <c r="N16" s="69" t="s">
        <v>765</v>
      </c>
      <c r="O16" s="70" t="s">
        <v>766</v>
      </c>
      <c r="P16" s="69" t="s">
        <v>767</v>
      </c>
      <c r="Q16" s="69" t="s">
        <v>316</v>
      </c>
      <c r="R16" s="64" t="s">
        <v>768</v>
      </c>
      <c r="S16" s="64" t="s">
        <v>769</v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71"/>
      <c r="AE16" s="72"/>
      <c r="AF16" s="72"/>
      <c r="AG16" s="72"/>
      <c r="AH16" s="72"/>
      <c r="AI16" s="72"/>
      <c r="AJ16" s="72"/>
      <c r="AK16" s="72"/>
    </row>
    <row r="17" spans="3:37" ht="14.25" customHeight="1">
      <c r="D17" s="64"/>
      <c r="E17" s="64"/>
      <c r="F17" s="65"/>
      <c r="G17" s="65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71"/>
      <c r="AE17" s="72"/>
      <c r="AF17" s="72"/>
      <c r="AG17" s="72"/>
      <c r="AH17" s="72"/>
      <c r="AI17" s="72"/>
      <c r="AJ17" s="72"/>
      <c r="AK17" s="72"/>
    </row>
    <row r="18" spans="3:37" ht="14.25" customHeight="1">
      <c r="D18" s="64"/>
      <c r="E18" s="64"/>
      <c r="F18" s="65"/>
      <c r="G18" s="65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71"/>
      <c r="AE18" s="72"/>
      <c r="AF18" s="72"/>
      <c r="AG18" s="72"/>
      <c r="AH18" s="72"/>
      <c r="AI18" s="72"/>
      <c r="AJ18" s="72"/>
      <c r="AK18" s="72"/>
    </row>
    <row r="19" spans="3:37" ht="14.25" customHeight="1">
      <c r="D19" s="64"/>
      <c r="E19" s="64"/>
      <c r="F19" s="65"/>
      <c r="G19" s="65"/>
      <c r="H19" s="66" t="s">
        <v>762</v>
      </c>
      <c r="I19" s="64" t="s">
        <v>129</v>
      </c>
      <c r="J19" s="64" t="s">
        <v>218</v>
      </c>
      <c r="K19" s="67" t="s">
        <v>315</v>
      </c>
      <c r="L19" s="68" t="s">
        <v>763</v>
      </c>
      <c r="M19" s="68" t="s">
        <v>764</v>
      </c>
      <c r="N19" s="69" t="s">
        <v>765</v>
      </c>
      <c r="O19" s="70" t="s">
        <v>766</v>
      </c>
      <c r="P19" s="69" t="s">
        <v>767</v>
      </c>
      <c r="Q19" s="69" t="s">
        <v>316</v>
      </c>
      <c r="R19" s="69" t="s">
        <v>317</v>
      </c>
      <c r="S19" s="64" t="s">
        <v>768</v>
      </c>
      <c r="T19" s="64" t="s">
        <v>769</v>
      </c>
      <c r="U19" s="64"/>
      <c r="V19" s="64"/>
      <c r="W19" s="64"/>
      <c r="X19" s="64"/>
      <c r="Y19" s="64"/>
      <c r="Z19" s="64"/>
      <c r="AA19" s="64"/>
      <c r="AB19" s="64"/>
      <c r="AC19" s="64"/>
      <c r="AD19" s="71"/>
      <c r="AE19" s="72"/>
      <c r="AF19" s="72"/>
      <c r="AG19" s="72"/>
      <c r="AH19" s="72"/>
      <c r="AI19" s="72"/>
      <c r="AJ19" s="72"/>
      <c r="AK19" s="72"/>
    </row>
    <row r="20" spans="3:37" ht="14.25" customHeight="1">
      <c r="D20" s="64"/>
      <c r="E20" s="64"/>
      <c r="F20" s="65"/>
      <c r="G20" s="65" t="s">
        <v>817</v>
      </c>
      <c r="H20" s="64"/>
      <c r="I20" s="64" t="s">
        <v>129</v>
      </c>
      <c r="J20" s="64" t="s">
        <v>218</v>
      </c>
      <c r="K20" s="51" t="s">
        <v>818</v>
      </c>
      <c r="L20" s="64"/>
      <c r="M20" s="64"/>
      <c r="N20" s="64">
        <v>10</v>
      </c>
      <c r="O20" s="64">
        <v>50</v>
      </c>
      <c r="P20" s="64">
        <v>100</v>
      </c>
      <c r="Q20" s="64" t="s">
        <v>860</v>
      </c>
      <c r="R20" s="64" t="s">
        <v>863</v>
      </c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71"/>
      <c r="AE20" s="72"/>
      <c r="AF20" s="72"/>
      <c r="AG20" s="72"/>
      <c r="AH20" s="72"/>
      <c r="AI20" s="72"/>
      <c r="AJ20" s="72"/>
      <c r="AK20" s="72"/>
    </row>
    <row r="21" spans="3:37" ht="14.25" customHeight="1">
      <c r="D21" s="64"/>
      <c r="E21" s="64"/>
      <c r="F21" s="65"/>
      <c r="G21" s="65"/>
      <c r="H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71"/>
      <c r="AE21" s="72"/>
      <c r="AF21" s="72"/>
      <c r="AG21" s="72"/>
      <c r="AH21" s="72"/>
      <c r="AI21" s="72"/>
      <c r="AJ21" s="72"/>
      <c r="AK21" s="72"/>
    </row>
    <row r="22" spans="3:37" ht="14.25" customHeight="1">
      <c r="D22" s="64"/>
      <c r="E22" s="64"/>
      <c r="F22" s="65"/>
      <c r="G22" s="65"/>
      <c r="H22" s="66" t="s">
        <v>762</v>
      </c>
      <c r="I22" s="64" t="s">
        <v>129</v>
      </c>
      <c r="J22" s="64" t="s">
        <v>219</v>
      </c>
      <c r="K22" s="67" t="s">
        <v>315</v>
      </c>
      <c r="L22" s="68" t="s">
        <v>763</v>
      </c>
      <c r="M22" s="68" t="s">
        <v>764</v>
      </c>
      <c r="N22" s="69" t="s">
        <v>765</v>
      </c>
      <c r="O22" s="70" t="s">
        <v>766</v>
      </c>
      <c r="P22" s="69" t="s">
        <v>767</v>
      </c>
      <c r="Q22" s="69" t="s">
        <v>316</v>
      </c>
      <c r="R22" s="64" t="s">
        <v>768</v>
      </c>
      <c r="S22" s="64" t="s">
        <v>769</v>
      </c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71"/>
      <c r="AE22" s="72"/>
      <c r="AF22" s="72"/>
      <c r="AG22" s="72"/>
      <c r="AH22" s="72"/>
      <c r="AI22" s="72"/>
      <c r="AJ22" s="72"/>
      <c r="AK22" s="72"/>
    </row>
    <row r="23" spans="3:37" ht="14.25" customHeight="1">
      <c r="D23" s="64"/>
      <c r="E23" s="64"/>
      <c r="F23" s="65"/>
      <c r="G23" s="65" t="s">
        <v>827</v>
      </c>
      <c r="H23" s="64"/>
      <c r="I23" s="64" t="s">
        <v>129</v>
      </c>
      <c r="J23" s="64" t="s">
        <v>219</v>
      </c>
      <c r="K23" s="64" t="s">
        <v>819</v>
      </c>
      <c r="L23" s="64"/>
      <c r="M23" s="64"/>
      <c r="N23" s="64">
        <v>50</v>
      </c>
      <c r="O23" s="64">
        <v>50</v>
      </c>
      <c r="P23" s="64">
        <v>47</v>
      </c>
      <c r="Q23" s="64" t="s">
        <v>861</v>
      </c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71"/>
      <c r="AE23" s="72"/>
      <c r="AF23" s="72"/>
      <c r="AG23" s="72"/>
      <c r="AH23" s="72"/>
      <c r="AI23" s="72"/>
      <c r="AJ23" s="72"/>
      <c r="AK23" s="72"/>
    </row>
    <row r="24" spans="3:37" ht="14.25" customHeight="1"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71"/>
      <c r="AE24" s="72"/>
      <c r="AF24" s="72"/>
      <c r="AG24" s="72"/>
      <c r="AH24" s="72"/>
      <c r="AI24" s="72"/>
      <c r="AJ24" s="72"/>
      <c r="AK24" s="72"/>
    </row>
    <row r="25" spans="3:37" ht="14.25" customHeight="1">
      <c r="D25" s="64"/>
      <c r="E25" s="64"/>
      <c r="F25" s="64"/>
      <c r="G25" s="65"/>
      <c r="H25" s="66" t="s">
        <v>762</v>
      </c>
      <c r="I25" s="64" t="s">
        <v>129</v>
      </c>
      <c r="J25" s="64" t="s">
        <v>220</v>
      </c>
      <c r="K25" s="67" t="s">
        <v>315</v>
      </c>
      <c r="L25" s="68" t="s">
        <v>763</v>
      </c>
      <c r="M25" s="68" t="s">
        <v>764</v>
      </c>
      <c r="N25" s="69" t="s">
        <v>765</v>
      </c>
      <c r="O25" s="70" t="s">
        <v>766</v>
      </c>
      <c r="P25" s="69" t="s">
        <v>767</v>
      </c>
      <c r="Q25" s="69" t="s">
        <v>316</v>
      </c>
      <c r="R25" s="69" t="s">
        <v>318</v>
      </c>
      <c r="S25" s="64" t="s">
        <v>768</v>
      </c>
      <c r="T25" s="64" t="s">
        <v>769</v>
      </c>
      <c r="U25" s="64"/>
      <c r="V25" s="64"/>
      <c r="W25" s="64"/>
      <c r="X25" s="64"/>
      <c r="Y25" s="64"/>
      <c r="Z25" s="64"/>
      <c r="AA25" s="64"/>
      <c r="AB25" s="64"/>
      <c r="AC25" s="64"/>
      <c r="AD25" s="71"/>
      <c r="AE25" s="72"/>
      <c r="AF25" s="72"/>
      <c r="AG25" s="72"/>
      <c r="AH25" s="72"/>
      <c r="AI25" s="72"/>
      <c r="AJ25" s="72"/>
      <c r="AK25" s="72"/>
    </row>
    <row r="26" spans="3:37" ht="14.25" customHeight="1">
      <c r="D26" s="64"/>
      <c r="E26" s="64"/>
      <c r="F26" s="64"/>
      <c r="G26" s="65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71"/>
      <c r="AE26" s="72"/>
      <c r="AF26" s="72"/>
      <c r="AG26" s="72"/>
      <c r="AH26" s="72"/>
      <c r="AI26" s="72"/>
      <c r="AJ26" s="72"/>
      <c r="AK26" s="72"/>
    </row>
    <row r="27" spans="3:37" ht="14.25" customHeight="1">
      <c r="D27" s="64"/>
      <c r="E27" s="64"/>
      <c r="F27" s="64"/>
      <c r="G27" s="65"/>
      <c r="H27" s="64"/>
      <c r="I27" s="64"/>
      <c r="J27" s="64"/>
      <c r="K27" s="64"/>
      <c r="L27" s="64"/>
      <c r="M27" s="64"/>
      <c r="N27" s="64"/>
      <c r="O27" s="64"/>
      <c r="P27" s="64"/>
      <c r="Q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71"/>
      <c r="AE27" s="72"/>
      <c r="AF27" s="72"/>
      <c r="AG27" s="72"/>
      <c r="AH27" s="72"/>
      <c r="AI27" s="72"/>
      <c r="AJ27" s="72"/>
      <c r="AK27" s="72"/>
    </row>
    <row r="28" spans="3:37" s="72" customFormat="1" ht="14.25" customHeight="1">
      <c r="C28" s="51"/>
      <c r="D28" s="64"/>
      <c r="E28" s="64"/>
      <c r="F28" s="64"/>
      <c r="G28" s="65"/>
      <c r="H28" s="66" t="s">
        <v>762</v>
      </c>
      <c r="I28" s="64" t="s">
        <v>129</v>
      </c>
      <c r="J28" s="64" t="s">
        <v>221</v>
      </c>
      <c r="K28" s="67" t="s">
        <v>315</v>
      </c>
      <c r="L28" s="68" t="s">
        <v>763</v>
      </c>
      <c r="M28" s="68" t="s">
        <v>764</v>
      </c>
      <c r="N28" s="69" t="s">
        <v>765</v>
      </c>
      <c r="O28" s="70" t="s">
        <v>766</v>
      </c>
      <c r="P28" s="69" t="s">
        <v>767</v>
      </c>
      <c r="Q28" s="69" t="s">
        <v>316</v>
      </c>
      <c r="R28" s="64" t="s">
        <v>768</v>
      </c>
      <c r="S28" s="64" t="s">
        <v>769</v>
      </c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71"/>
    </row>
    <row r="29" spans="3:37" ht="14.25" customHeight="1">
      <c r="D29" s="64"/>
      <c r="E29" s="64"/>
      <c r="F29" s="64"/>
      <c r="G29" s="65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71"/>
      <c r="AE29" s="72"/>
      <c r="AF29" s="72"/>
      <c r="AG29" s="72"/>
      <c r="AH29" s="72"/>
      <c r="AI29" s="72"/>
      <c r="AJ29" s="72"/>
      <c r="AK29" s="72"/>
    </row>
    <row r="30" spans="3:37" ht="14.25" customHeight="1">
      <c r="D30" s="64"/>
      <c r="E30" s="64"/>
      <c r="F30" s="64"/>
      <c r="G30" s="65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71"/>
      <c r="AE30" s="72"/>
      <c r="AF30" s="72"/>
      <c r="AG30" s="72"/>
      <c r="AH30" s="72"/>
      <c r="AI30" s="72"/>
      <c r="AJ30" s="72"/>
      <c r="AK30" s="72"/>
    </row>
    <row r="31" spans="3:37" ht="14.25" customHeight="1">
      <c r="D31" s="64"/>
      <c r="E31" s="64"/>
      <c r="F31" s="64"/>
      <c r="G31" s="65"/>
      <c r="H31" s="66" t="s">
        <v>762</v>
      </c>
      <c r="I31" s="64" t="s">
        <v>129</v>
      </c>
      <c r="J31" s="64" t="s">
        <v>222</v>
      </c>
      <c r="K31" s="67" t="s">
        <v>315</v>
      </c>
      <c r="L31" s="68" t="s">
        <v>763</v>
      </c>
      <c r="M31" s="68" t="s">
        <v>764</v>
      </c>
      <c r="N31" s="69" t="s">
        <v>765</v>
      </c>
      <c r="O31" s="70" t="s">
        <v>766</v>
      </c>
      <c r="P31" s="69" t="s">
        <v>767</v>
      </c>
      <c r="Q31" s="69" t="s">
        <v>316</v>
      </c>
      <c r="R31" s="64" t="s">
        <v>768</v>
      </c>
      <c r="S31" s="64" t="s">
        <v>769</v>
      </c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71"/>
      <c r="AE31" s="72"/>
      <c r="AF31" s="72"/>
      <c r="AG31" s="72"/>
      <c r="AH31" s="72"/>
      <c r="AI31" s="72"/>
      <c r="AJ31" s="72"/>
      <c r="AK31" s="72"/>
    </row>
    <row r="32" spans="3:37" ht="14.25" customHeight="1">
      <c r="D32" s="64"/>
      <c r="E32" s="64"/>
      <c r="F32" s="64"/>
      <c r="G32" s="65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71"/>
    </row>
    <row r="33" spans="4:37" ht="14.25" customHeight="1"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71"/>
    </row>
    <row r="34" spans="4:37" ht="14.25" customHeight="1">
      <c r="D34" s="64"/>
      <c r="E34" s="64"/>
      <c r="F34" s="64"/>
      <c r="G34" s="65"/>
      <c r="H34" s="66" t="s">
        <v>762</v>
      </c>
      <c r="I34" s="64" t="s">
        <v>129</v>
      </c>
      <c r="J34" s="64" t="s">
        <v>223</v>
      </c>
      <c r="K34" s="67" t="s">
        <v>315</v>
      </c>
      <c r="L34" s="68" t="s">
        <v>763</v>
      </c>
      <c r="M34" s="68" t="s">
        <v>764</v>
      </c>
      <c r="N34" s="69" t="s">
        <v>765</v>
      </c>
      <c r="O34" s="70" t="s">
        <v>766</v>
      </c>
      <c r="P34" s="69" t="s">
        <v>767</v>
      </c>
      <c r="Q34" s="69" t="s">
        <v>316</v>
      </c>
      <c r="R34" s="64" t="s">
        <v>768</v>
      </c>
      <c r="S34" s="64" t="s">
        <v>769</v>
      </c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71"/>
      <c r="AE34" s="72"/>
      <c r="AF34" s="72"/>
      <c r="AG34" s="72"/>
      <c r="AH34" s="72"/>
      <c r="AI34" s="72"/>
      <c r="AJ34" s="72"/>
      <c r="AK34" s="72"/>
    </row>
    <row r="35" spans="4:37" ht="14.25" customHeight="1">
      <c r="D35" s="64"/>
      <c r="E35" s="64"/>
      <c r="F35" s="64"/>
      <c r="G35" s="65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71"/>
      <c r="AE35" s="72"/>
      <c r="AF35" s="72"/>
      <c r="AG35" s="72"/>
      <c r="AH35" s="72"/>
      <c r="AI35" s="72"/>
      <c r="AJ35" s="72"/>
      <c r="AK35" s="72"/>
    </row>
    <row r="36" spans="4:37" ht="14.25" customHeight="1">
      <c r="D36" s="64"/>
      <c r="E36" s="64"/>
      <c r="F36" s="64"/>
      <c r="G36" s="65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71"/>
      <c r="AE36" s="72"/>
      <c r="AF36" s="72"/>
      <c r="AG36" s="72"/>
      <c r="AH36" s="72"/>
      <c r="AI36" s="72"/>
      <c r="AJ36" s="72"/>
      <c r="AK36" s="72"/>
    </row>
    <row r="37" spans="4:37" ht="14.25" customHeight="1">
      <c r="D37" s="64"/>
      <c r="E37" s="64"/>
      <c r="F37" s="64"/>
      <c r="G37" s="65"/>
      <c r="H37" s="66" t="s">
        <v>762</v>
      </c>
      <c r="I37" s="64" t="s">
        <v>129</v>
      </c>
      <c r="J37" s="64" t="s">
        <v>224</v>
      </c>
      <c r="K37" s="67" t="s">
        <v>315</v>
      </c>
      <c r="L37" s="68" t="s">
        <v>763</v>
      </c>
      <c r="M37" s="68" t="s">
        <v>764</v>
      </c>
      <c r="N37" s="69" t="s">
        <v>765</v>
      </c>
      <c r="O37" s="70" t="s">
        <v>766</v>
      </c>
      <c r="P37" s="69" t="s">
        <v>767</v>
      </c>
      <c r="Q37" s="69" t="s">
        <v>316</v>
      </c>
      <c r="R37" s="64" t="s">
        <v>768</v>
      </c>
      <c r="S37" s="64" t="s">
        <v>769</v>
      </c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71"/>
      <c r="AE37" s="72"/>
      <c r="AF37" s="72"/>
      <c r="AG37" s="72"/>
      <c r="AH37" s="72"/>
      <c r="AI37" s="72"/>
      <c r="AJ37" s="72"/>
      <c r="AK37" s="72"/>
    </row>
    <row r="38" spans="4:37" ht="14.25" customHeight="1">
      <c r="D38" s="64"/>
      <c r="E38" s="64"/>
      <c r="F38" s="64"/>
      <c r="G38" s="65" t="s">
        <v>828</v>
      </c>
      <c r="H38" s="64"/>
      <c r="I38" s="64" t="s">
        <v>129</v>
      </c>
      <c r="J38" s="64" t="s">
        <v>224</v>
      </c>
      <c r="K38" s="64" t="s">
        <v>820</v>
      </c>
      <c r="L38" s="64"/>
      <c r="M38" s="64"/>
      <c r="N38" s="64">
        <v>50</v>
      </c>
      <c r="O38" s="64">
        <v>50</v>
      </c>
      <c r="P38" s="64">
        <v>47</v>
      </c>
      <c r="Q38" s="64" t="s">
        <v>860</v>
      </c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71"/>
      <c r="AE38" s="72"/>
      <c r="AF38" s="72"/>
      <c r="AG38" s="72"/>
      <c r="AH38" s="72"/>
      <c r="AI38" s="72"/>
      <c r="AJ38" s="72"/>
      <c r="AK38" s="72"/>
    </row>
    <row r="39" spans="4:37" ht="14.25" customHeight="1">
      <c r="D39" s="64"/>
      <c r="E39" s="64"/>
      <c r="F39" s="64"/>
      <c r="G39" s="65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71"/>
      <c r="AE39" s="72"/>
      <c r="AF39" s="72"/>
      <c r="AG39" s="72"/>
      <c r="AH39" s="72"/>
      <c r="AI39" s="72"/>
      <c r="AJ39" s="72"/>
      <c r="AK39" s="72"/>
    </row>
    <row r="40" spans="4:37" ht="14.25" customHeight="1">
      <c r="D40" s="64"/>
      <c r="E40" s="64"/>
      <c r="F40" s="64"/>
      <c r="G40" s="65"/>
      <c r="H40" s="66" t="s">
        <v>762</v>
      </c>
      <c r="I40" s="64" t="s">
        <v>129</v>
      </c>
      <c r="J40" s="64" t="s">
        <v>225</v>
      </c>
      <c r="K40" s="67" t="s">
        <v>315</v>
      </c>
      <c r="L40" s="68" t="s">
        <v>763</v>
      </c>
      <c r="M40" s="68" t="s">
        <v>764</v>
      </c>
      <c r="N40" s="69" t="s">
        <v>765</v>
      </c>
      <c r="O40" s="70" t="s">
        <v>766</v>
      </c>
      <c r="P40" s="69" t="s">
        <v>767</v>
      </c>
      <c r="Q40" s="69" t="s">
        <v>316</v>
      </c>
      <c r="R40" s="64" t="s">
        <v>768</v>
      </c>
      <c r="S40" s="64" t="s">
        <v>769</v>
      </c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71"/>
      <c r="AE40" s="72"/>
      <c r="AF40" s="72"/>
      <c r="AG40" s="72"/>
      <c r="AH40" s="72"/>
      <c r="AI40" s="72"/>
      <c r="AJ40" s="72"/>
      <c r="AK40" s="72"/>
    </row>
    <row r="41" spans="4:37" ht="14.25" customHeight="1">
      <c r="D41" s="64"/>
      <c r="E41" s="64"/>
      <c r="F41" s="64"/>
      <c r="G41" s="65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71"/>
      <c r="AE41" s="72"/>
      <c r="AF41" s="72"/>
      <c r="AG41" s="72"/>
      <c r="AH41" s="72"/>
      <c r="AI41" s="72"/>
      <c r="AJ41" s="72"/>
      <c r="AK41" s="72"/>
    </row>
    <row r="42" spans="4:37" ht="14.25" customHeight="1">
      <c r="D42" s="64"/>
      <c r="E42" s="64"/>
      <c r="F42" s="64"/>
      <c r="G42" s="65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71"/>
      <c r="AE42" s="72"/>
      <c r="AF42" s="72"/>
      <c r="AG42" s="72"/>
      <c r="AH42" s="72"/>
      <c r="AI42" s="72"/>
      <c r="AJ42" s="72"/>
      <c r="AK42" s="72"/>
    </row>
    <row r="43" spans="4:37" ht="14.25" customHeight="1">
      <c r="D43" s="64"/>
      <c r="E43" s="64"/>
      <c r="F43" s="64"/>
      <c r="G43" s="65"/>
      <c r="H43" s="66" t="s">
        <v>762</v>
      </c>
      <c r="I43" s="64" t="s">
        <v>129</v>
      </c>
      <c r="J43" s="64" t="s">
        <v>226</v>
      </c>
      <c r="K43" s="67" t="s">
        <v>315</v>
      </c>
      <c r="L43" s="68" t="s">
        <v>763</v>
      </c>
      <c r="M43" s="68" t="s">
        <v>764</v>
      </c>
      <c r="N43" s="69" t="s">
        <v>765</v>
      </c>
      <c r="O43" s="70" t="s">
        <v>766</v>
      </c>
      <c r="P43" s="69" t="s">
        <v>767</v>
      </c>
      <c r="Q43" s="69" t="s">
        <v>316</v>
      </c>
      <c r="R43" s="69" t="s">
        <v>317</v>
      </c>
      <c r="S43" s="64" t="s">
        <v>768</v>
      </c>
      <c r="T43" s="64" t="s">
        <v>769</v>
      </c>
      <c r="U43" s="64"/>
      <c r="V43" s="64"/>
      <c r="W43" s="64"/>
      <c r="X43" s="64"/>
      <c r="Y43" s="64"/>
      <c r="Z43" s="64"/>
      <c r="AA43" s="64"/>
      <c r="AB43" s="64"/>
      <c r="AC43" s="64"/>
      <c r="AD43" s="71"/>
      <c r="AE43" s="72"/>
      <c r="AF43" s="72"/>
      <c r="AG43" s="72"/>
      <c r="AH43" s="72"/>
      <c r="AI43" s="72"/>
      <c r="AJ43" s="72"/>
      <c r="AK43" s="72"/>
    </row>
    <row r="44" spans="4:37" ht="14.25" customHeight="1">
      <c r="D44" s="64"/>
      <c r="E44" s="64"/>
      <c r="F44" s="64"/>
      <c r="G44" s="65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71"/>
      <c r="AE44" s="72"/>
      <c r="AF44" s="72"/>
      <c r="AG44" s="72"/>
      <c r="AH44" s="72"/>
      <c r="AI44" s="72"/>
      <c r="AJ44" s="72"/>
      <c r="AK44" s="72"/>
    </row>
    <row r="45" spans="4:37" ht="14.25" customHeight="1">
      <c r="D45" s="64"/>
      <c r="E45" s="64"/>
      <c r="F45" s="64"/>
      <c r="G45" s="65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71"/>
      <c r="AE45" s="72"/>
      <c r="AF45" s="72"/>
      <c r="AG45" s="72"/>
      <c r="AH45" s="72"/>
      <c r="AI45" s="72"/>
      <c r="AJ45" s="72"/>
      <c r="AK45" s="72"/>
    </row>
    <row r="46" spans="4:37" ht="14.25" customHeight="1">
      <c r="D46" s="64"/>
      <c r="E46" s="64"/>
      <c r="F46" s="64"/>
      <c r="G46" s="65"/>
      <c r="H46" s="66" t="s">
        <v>762</v>
      </c>
      <c r="I46" s="64" t="s">
        <v>129</v>
      </c>
      <c r="J46" s="64" t="s">
        <v>227</v>
      </c>
      <c r="K46" s="67" t="s">
        <v>315</v>
      </c>
      <c r="L46" s="68" t="s">
        <v>763</v>
      </c>
      <c r="M46" s="68" t="s">
        <v>764</v>
      </c>
      <c r="N46" s="69" t="s">
        <v>765</v>
      </c>
      <c r="O46" s="70" t="s">
        <v>766</v>
      </c>
      <c r="P46" s="69" t="s">
        <v>767</v>
      </c>
      <c r="Q46" s="69" t="s">
        <v>316</v>
      </c>
      <c r="R46" s="69" t="s">
        <v>317</v>
      </c>
      <c r="S46" s="64" t="s">
        <v>768</v>
      </c>
      <c r="T46" s="64" t="s">
        <v>769</v>
      </c>
      <c r="U46" s="64"/>
      <c r="V46" s="64"/>
      <c r="W46" s="64"/>
      <c r="X46" s="64"/>
      <c r="Y46" s="64"/>
      <c r="Z46" s="64"/>
      <c r="AA46" s="64"/>
      <c r="AB46" s="64"/>
      <c r="AC46" s="64"/>
      <c r="AD46" s="71"/>
      <c r="AE46" s="72"/>
      <c r="AF46" s="72"/>
      <c r="AG46" s="72"/>
      <c r="AH46" s="72"/>
      <c r="AI46" s="72"/>
      <c r="AJ46" s="72"/>
      <c r="AK46" s="72"/>
    </row>
    <row r="47" spans="4:37" ht="14.25" customHeight="1">
      <c r="D47" s="64"/>
      <c r="E47" s="64"/>
      <c r="F47" s="64"/>
      <c r="G47" s="65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71"/>
      <c r="AE47" s="72"/>
      <c r="AF47" s="72"/>
      <c r="AG47" s="72"/>
      <c r="AH47" s="72"/>
      <c r="AI47" s="72"/>
      <c r="AJ47" s="72"/>
      <c r="AK47" s="72"/>
    </row>
    <row r="48" spans="4:37" ht="14.25" customHeight="1">
      <c r="D48" s="64"/>
      <c r="E48" s="64"/>
      <c r="F48" s="64"/>
      <c r="G48" s="65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71"/>
      <c r="AE48" s="72"/>
      <c r="AF48" s="72"/>
      <c r="AG48" s="72"/>
      <c r="AH48" s="72"/>
      <c r="AI48" s="72"/>
      <c r="AJ48" s="72"/>
      <c r="AK48" s="72"/>
    </row>
    <row r="49" spans="4:37" ht="14.25" customHeight="1">
      <c r="D49" s="64"/>
      <c r="E49" s="64"/>
      <c r="F49" s="64"/>
      <c r="G49" s="65"/>
      <c r="H49" s="66" t="s">
        <v>762</v>
      </c>
      <c r="I49" s="64" t="s">
        <v>129</v>
      </c>
      <c r="J49" s="64" t="s">
        <v>228</v>
      </c>
      <c r="K49" s="67" t="s">
        <v>315</v>
      </c>
      <c r="L49" s="68" t="s">
        <v>763</v>
      </c>
      <c r="M49" s="68" t="s">
        <v>764</v>
      </c>
      <c r="N49" s="69" t="s">
        <v>765</v>
      </c>
      <c r="O49" s="70" t="s">
        <v>766</v>
      </c>
      <c r="P49" s="69" t="s">
        <v>767</v>
      </c>
      <c r="Q49" s="69" t="s">
        <v>316</v>
      </c>
      <c r="R49" s="64" t="s">
        <v>768</v>
      </c>
      <c r="S49" s="64" t="s">
        <v>769</v>
      </c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71"/>
      <c r="AE49" s="72"/>
      <c r="AF49" s="72"/>
      <c r="AG49" s="72"/>
      <c r="AH49" s="72"/>
      <c r="AI49" s="72"/>
      <c r="AJ49" s="72"/>
      <c r="AK49" s="72"/>
    </row>
    <row r="50" spans="4:37" ht="14.25" customHeight="1">
      <c r="D50" s="64"/>
      <c r="E50" s="64"/>
      <c r="F50" s="64"/>
      <c r="G50" s="65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71"/>
      <c r="AE50" s="72"/>
      <c r="AF50" s="72"/>
      <c r="AG50" s="72"/>
      <c r="AH50" s="72"/>
      <c r="AI50" s="72"/>
      <c r="AJ50" s="72"/>
      <c r="AK50" s="72"/>
    </row>
    <row r="51" spans="4:37" ht="14.25" customHeight="1">
      <c r="D51" s="64"/>
      <c r="E51" s="64"/>
      <c r="F51" s="64"/>
      <c r="G51" s="65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71"/>
      <c r="AE51" s="72"/>
      <c r="AF51" s="72"/>
      <c r="AG51" s="72"/>
      <c r="AH51" s="72"/>
      <c r="AI51" s="72"/>
      <c r="AJ51" s="72"/>
      <c r="AK51" s="72"/>
    </row>
    <row r="52" spans="4:37" ht="14.25" customHeight="1">
      <c r="D52" s="64"/>
      <c r="E52" s="64"/>
      <c r="F52" s="64"/>
      <c r="G52" s="65"/>
      <c r="H52" s="66" t="s">
        <v>762</v>
      </c>
      <c r="I52" s="64" t="s">
        <v>129</v>
      </c>
      <c r="J52" s="64" t="s">
        <v>229</v>
      </c>
      <c r="K52" s="67" t="s">
        <v>315</v>
      </c>
      <c r="L52" s="68" t="s">
        <v>763</v>
      </c>
      <c r="M52" s="68" t="s">
        <v>764</v>
      </c>
      <c r="N52" s="69" t="s">
        <v>765</v>
      </c>
      <c r="O52" s="70" t="s">
        <v>766</v>
      </c>
      <c r="P52" s="69" t="s">
        <v>767</v>
      </c>
      <c r="Q52" s="69" t="s">
        <v>316</v>
      </c>
      <c r="R52" s="69" t="s">
        <v>317</v>
      </c>
      <c r="S52" s="64" t="s">
        <v>768</v>
      </c>
      <c r="T52" s="64" t="s">
        <v>769</v>
      </c>
      <c r="U52" s="64"/>
      <c r="V52" s="64"/>
      <c r="W52" s="64"/>
      <c r="X52" s="64"/>
      <c r="Y52" s="64"/>
      <c r="Z52" s="64"/>
      <c r="AA52" s="64"/>
      <c r="AB52" s="64"/>
      <c r="AC52" s="64"/>
      <c r="AD52" s="71"/>
      <c r="AE52" s="72"/>
      <c r="AF52" s="72"/>
      <c r="AG52" s="72"/>
      <c r="AH52" s="72"/>
      <c r="AI52" s="72"/>
      <c r="AJ52" s="72"/>
      <c r="AK52" s="72"/>
    </row>
    <row r="53" spans="4:37" ht="14.25" customHeight="1">
      <c r="D53" s="64"/>
      <c r="E53" s="64"/>
      <c r="F53" s="64"/>
      <c r="G53" s="65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71"/>
      <c r="AE53" s="72"/>
      <c r="AF53" s="72"/>
      <c r="AG53" s="72"/>
      <c r="AH53" s="72"/>
      <c r="AI53" s="72"/>
      <c r="AJ53" s="72"/>
      <c r="AK53" s="72"/>
    </row>
    <row r="54" spans="4:37" ht="14.25" customHeight="1">
      <c r="D54" s="64"/>
      <c r="E54" s="64"/>
      <c r="F54" s="64"/>
      <c r="G54" s="65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71"/>
      <c r="AE54" s="72"/>
      <c r="AF54" s="72"/>
      <c r="AG54" s="72"/>
      <c r="AH54" s="72"/>
      <c r="AI54" s="72"/>
      <c r="AJ54" s="72"/>
      <c r="AK54" s="72"/>
    </row>
    <row r="55" spans="4:37" ht="16.5" customHeight="1">
      <c r="D55" s="64"/>
      <c r="E55" s="64"/>
      <c r="F55" s="64"/>
      <c r="G55" s="65"/>
      <c r="H55" s="66" t="s">
        <v>762</v>
      </c>
      <c r="I55" s="64" t="s">
        <v>129</v>
      </c>
      <c r="J55" s="64" t="s">
        <v>230</v>
      </c>
      <c r="K55" s="67" t="s">
        <v>315</v>
      </c>
      <c r="L55" s="68" t="s">
        <v>763</v>
      </c>
      <c r="M55" s="68" t="s">
        <v>764</v>
      </c>
      <c r="N55" s="69" t="s">
        <v>765</v>
      </c>
      <c r="O55" s="70" t="s">
        <v>766</v>
      </c>
      <c r="P55" s="69" t="s">
        <v>767</v>
      </c>
      <c r="Q55" s="69" t="s">
        <v>316</v>
      </c>
      <c r="R55" s="69" t="s">
        <v>317</v>
      </c>
      <c r="S55" s="64" t="s">
        <v>768</v>
      </c>
      <c r="T55" s="64" t="s">
        <v>769</v>
      </c>
      <c r="U55" s="64"/>
      <c r="V55" s="64"/>
      <c r="W55" s="64"/>
      <c r="X55" s="64"/>
      <c r="Y55" s="64"/>
      <c r="Z55" s="64"/>
      <c r="AA55" s="64"/>
      <c r="AB55" s="64"/>
      <c r="AC55" s="64"/>
      <c r="AD55" s="71"/>
      <c r="AE55" s="72"/>
      <c r="AF55" s="72"/>
      <c r="AG55" s="72"/>
      <c r="AH55" s="72"/>
      <c r="AI55" s="72"/>
      <c r="AJ55" s="72"/>
      <c r="AK55" s="72"/>
    </row>
    <row r="56" spans="4:37" ht="14.25" customHeight="1">
      <c r="D56" s="64"/>
      <c r="E56" s="64"/>
      <c r="F56" s="64"/>
      <c r="G56" s="65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71"/>
      <c r="AE56" s="72"/>
      <c r="AF56" s="72"/>
      <c r="AG56" s="72"/>
      <c r="AH56" s="72"/>
      <c r="AI56" s="72"/>
      <c r="AJ56" s="72"/>
      <c r="AK56" s="72"/>
    </row>
    <row r="57" spans="4:37" ht="14.25" customHeight="1">
      <c r="D57" s="64"/>
      <c r="E57" s="64"/>
      <c r="F57" s="64"/>
      <c r="G57" s="65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71"/>
      <c r="AE57" s="72"/>
      <c r="AF57" s="72"/>
      <c r="AG57" s="72"/>
      <c r="AH57" s="72"/>
      <c r="AI57" s="72"/>
      <c r="AJ57" s="72"/>
      <c r="AK57" s="72"/>
    </row>
    <row r="58" spans="4:37" ht="14.25" customHeight="1">
      <c r="D58" s="64"/>
      <c r="E58" s="64"/>
      <c r="F58" s="64"/>
      <c r="G58" s="64"/>
      <c r="H58" s="66" t="s">
        <v>762</v>
      </c>
      <c r="I58" s="64" t="s">
        <v>129</v>
      </c>
      <c r="J58" s="64" t="s">
        <v>231</v>
      </c>
      <c r="K58" s="67" t="s">
        <v>315</v>
      </c>
      <c r="L58" s="68" t="s">
        <v>763</v>
      </c>
      <c r="M58" s="68" t="s">
        <v>764</v>
      </c>
      <c r="N58" s="69" t="s">
        <v>765</v>
      </c>
      <c r="O58" s="70" t="s">
        <v>766</v>
      </c>
      <c r="P58" s="69" t="s">
        <v>767</v>
      </c>
      <c r="Q58" s="69" t="s">
        <v>316</v>
      </c>
      <c r="R58" s="64" t="s">
        <v>768</v>
      </c>
      <c r="S58" s="64" t="s">
        <v>769</v>
      </c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71"/>
      <c r="AE58" s="72"/>
      <c r="AF58" s="72"/>
      <c r="AG58" s="72"/>
      <c r="AH58" s="72"/>
      <c r="AI58" s="72"/>
      <c r="AJ58" s="72"/>
      <c r="AK58" s="72"/>
    </row>
    <row r="59" spans="4:37" ht="14.25" customHeight="1">
      <c r="D59" s="64"/>
      <c r="E59" s="64"/>
      <c r="F59" s="64"/>
      <c r="G59" s="64"/>
      <c r="H59" s="64"/>
      <c r="I59" s="64"/>
      <c r="J59" s="64"/>
      <c r="K59" s="73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71"/>
      <c r="AE59" s="72"/>
      <c r="AF59" s="72"/>
      <c r="AG59" s="72"/>
      <c r="AH59" s="72"/>
      <c r="AI59" s="72"/>
      <c r="AJ59" s="72"/>
      <c r="AK59" s="72"/>
    </row>
    <row r="60" spans="4:37" ht="14.25" customHeight="1"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71"/>
      <c r="AE60" s="72"/>
      <c r="AF60" s="72"/>
      <c r="AG60" s="72"/>
      <c r="AH60" s="72"/>
      <c r="AI60" s="72"/>
      <c r="AJ60" s="72"/>
      <c r="AK60" s="72"/>
    </row>
    <row r="61" spans="4:37" ht="14.25" customHeight="1">
      <c r="D61" s="64"/>
      <c r="E61" s="64"/>
      <c r="F61" s="64"/>
      <c r="G61" s="65"/>
      <c r="H61" s="66" t="s">
        <v>762</v>
      </c>
      <c r="I61" s="64" t="s">
        <v>129</v>
      </c>
      <c r="J61" s="64" t="s">
        <v>232</v>
      </c>
      <c r="K61" s="67" t="s">
        <v>315</v>
      </c>
      <c r="L61" s="68" t="s">
        <v>763</v>
      </c>
      <c r="M61" s="68" t="s">
        <v>764</v>
      </c>
      <c r="N61" s="69" t="s">
        <v>765</v>
      </c>
      <c r="O61" s="70" t="s">
        <v>766</v>
      </c>
      <c r="P61" s="69" t="s">
        <v>767</v>
      </c>
      <c r="Q61" s="69" t="s">
        <v>316</v>
      </c>
      <c r="R61" s="69" t="s">
        <v>318</v>
      </c>
      <c r="S61" s="64" t="s">
        <v>768</v>
      </c>
      <c r="T61" s="64" t="s">
        <v>769</v>
      </c>
      <c r="U61" s="64"/>
      <c r="V61" s="64"/>
      <c r="W61" s="64"/>
      <c r="X61" s="64"/>
      <c r="Y61" s="64"/>
      <c r="Z61" s="64"/>
      <c r="AA61" s="64"/>
      <c r="AB61" s="64"/>
      <c r="AC61" s="64"/>
      <c r="AD61" s="71"/>
      <c r="AE61" s="72"/>
      <c r="AF61" s="72"/>
      <c r="AG61" s="72"/>
      <c r="AH61" s="72"/>
      <c r="AI61" s="72"/>
      <c r="AJ61" s="72"/>
      <c r="AK61" s="72"/>
    </row>
    <row r="62" spans="4:37" ht="14.25" customHeight="1">
      <c r="D62" s="64"/>
      <c r="G62" s="52" t="s">
        <v>829</v>
      </c>
      <c r="I62" s="64" t="s">
        <v>129</v>
      </c>
      <c r="J62" s="64" t="s">
        <v>232</v>
      </c>
      <c r="K62" s="51" t="s">
        <v>818</v>
      </c>
      <c r="N62" s="51">
        <v>35</v>
      </c>
      <c r="O62" s="51">
        <v>50</v>
      </c>
      <c r="P62" s="51">
        <v>10</v>
      </c>
      <c r="Q62" s="64" t="s">
        <v>860</v>
      </c>
      <c r="R62" s="51" t="s">
        <v>865</v>
      </c>
    </row>
    <row r="63" spans="4:37" ht="14.25" customHeight="1"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71"/>
      <c r="AE63" s="72"/>
      <c r="AF63" s="72"/>
      <c r="AG63" s="72"/>
      <c r="AH63" s="72"/>
      <c r="AI63" s="72"/>
      <c r="AJ63" s="72"/>
      <c r="AK63" s="72"/>
    </row>
    <row r="64" spans="4:37" ht="14.25" customHeight="1">
      <c r="D64" s="64"/>
      <c r="E64" s="64"/>
      <c r="F64" s="64"/>
      <c r="G64" s="65"/>
      <c r="H64" s="66" t="s">
        <v>762</v>
      </c>
      <c r="I64" s="64" t="s">
        <v>129</v>
      </c>
      <c r="J64" s="64" t="s">
        <v>233</v>
      </c>
      <c r="K64" s="67" t="s">
        <v>315</v>
      </c>
      <c r="L64" s="68" t="s">
        <v>763</v>
      </c>
      <c r="M64" s="68" t="s">
        <v>764</v>
      </c>
      <c r="N64" s="69" t="s">
        <v>765</v>
      </c>
      <c r="O64" s="70" t="s">
        <v>766</v>
      </c>
      <c r="P64" s="69" t="s">
        <v>767</v>
      </c>
      <c r="Q64" s="69" t="s">
        <v>316</v>
      </c>
      <c r="R64" s="64" t="s">
        <v>768</v>
      </c>
      <c r="S64" s="64" t="s">
        <v>769</v>
      </c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71"/>
      <c r="AE64" s="72"/>
      <c r="AF64" s="72"/>
      <c r="AG64" s="72"/>
      <c r="AH64" s="72"/>
      <c r="AI64" s="72"/>
      <c r="AJ64" s="72"/>
      <c r="AK64" s="72"/>
    </row>
    <row r="65" spans="4:37" ht="13.5" customHeight="1"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71"/>
      <c r="AE65" s="72"/>
      <c r="AF65" s="72"/>
      <c r="AG65" s="72"/>
      <c r="AH65" s="72"/>
      <c r="AI65" s="72"/>
      <c r="AJ65" s="72"/>
      <c r="AK65" s="72"/>
    </row>
    <row r="66" spans="4:37" ht="14.25" customHeight="1"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71"/>
      <c r="AE66" s="72"/>
      <c r="AF66" s="72"/>
      <c r="AG66" s="72"/>
      <c r="AH66" s="72"/>
      <c r="AI66" s="72"/>
      <c r="AJ66" s="72"/>
      <c r="AK66" s="72"/>
    </row>
    <row r="67" spans="4:37" ht="14.25" customHeight="1">
      <c r="D67" s="64"/>
      <c r="E67" s="64"/>
      <c r="F67" s="64"/>
      <c r="G67" s="65"/>
      <c r="H67" s="66" t="s">
        <v>762</v>
      </c>
      <c r="I67" s="64" t="s">
        <v>129</v>
      </c>
      <c r="J67" s="64" t="s">
        <v>234</v>
      </c>
      <c r="K67" s="67" t="s">
        <v>315</v>
      </c>
      <c r="L67" s="68" t="s">
        <v>763</v>
      </c>
      <c r="M67" s="68" t="s">
        <v>764</v>
      </c>
      <c r="N67" s="69" t="s">
        <v>765</v>
      </c>
      <c r="O67" s="70" t="s">
        <v>766</v>
      </c>
      <c r="P67" s="69" t="s">
        <v>767</v>
      </c>
      <c r="Q67" s="69" t="s">
        <v>316</v>
      </c>
      <c r="R67" s="64" t="s">
        <v>768</v>
      </c>
      <c r="S67" s="64" t="s">
        <v>769</v>
      </c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71"/>
      <c r="AE67" s="72"/>
      <c r="AF67" s="72"/>
      <c r="AG67" s="72"/>
      <c r="AH67" s="72"/>
      <c r="AI67" s="72"/>
      <c r="AJ67" s="72"/>
      <c r="AK67" s="72"/>
    </row>
    <row r="68" spans="4:37" ht="14.25" customHeight="1"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71"/>
      <c r="AE68" s="72"/>
      <c r="AF68" s="72"/>
      <c r="AG68" s="72"/>
      <c r="AH68" s="72"/>
      <c r="AI68" s="72"/>
      <c r="AJ68" s="72"/>
      <c r="AK68" s="72"/>
    </row>
    <row r="69" spans="4:37" ht="14.25" customHeight="1"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71"/>
      <c r="AE69" s="72"/>
      <c r="AF69" s="72"/>
      <c r="AG69" s="72"/>
      <c r="AH69" s="72"/>
      <c r="AI69" s="72"/>
      <c r="AJ69" s="72"/>
      <c r="AK69" s="72"/>
    </row>
    <row r="70" spans="4:37" ht="14.25" customHeight="1">
      <c r="D70" s="64"/>
      <c r="E70" s="64"/>
      <c r="F70" s="64"/>
      <c r="G70" s="65"/>
      <c r="H70" s="66" t="s">
        <v>762</v>
      </c>
      <c r="I70" s="64" t="s">
        <v>129</v>
      </c>
      <c r="J70" s="64" t="s">
        <v>235</v>
      </c>
      <c r="K70" s="67" t="s">
        <v>315</v>
      </c>
      <c r="L70" s="68" t="s">
        <v>763</v>
      </c>
      <c r="M70" s="68" t="s">
        <v>764</v>
      </c>
      <c r="N70" s="69" t="s">
        <v>765</v>
      </c>
      <c r="O70" s="70" t="s">
        <v>766</v>
      </c>
      <c r="P70" s="69" t="s">
        <v>767</v>
      </c>
      <c r="Q70" s="69" t="s">
        <v>316</v>
      </c>
      <c r="R70" s="64" t="s">
        <v>768</v>
      </c>
      <c r="S70" s="64" t="s">
        <v>769</v>
      </c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71"/>
      <c r="AE70" s="72"/>
      <c r="AF70" s="72"/>
      <c r="AG70" s="72"/>
      <c r="AH70" s="72"/>
      <c r="AI70" s="72"/>
      <c r="AJ70" s="72"/>
      <c r="AK70" s="72"/>
    </row>
    <row r="71" spans="4:37" ht="14.25" customHeight="1"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71"/>
      <c r="AE71" s="72"/>
      <c r="AF71" s="72"/>
      <c r="AG71" s="72"/>
      <c r="AH71" s="72"/>
      <c r="AI71" s="72"/>
      <c r="AJ71" s="72"/>
      <c r="AK71" s="72"/>
    </row>
    <row r="72" spans="4:37" ht="14.25" customHeight="1"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71"/>
      <c r="AE72" s="72"/>
      <c r="AF72" s="72"/>
      <c r="AG72" s="72"/>
      <c r="AH72" s="72"/>
      <c r="AI72" s="72"/>
      <c r="AJ72" s="72"/>
      <c r="AK72" s="72"/>
    </row>
    <row r="73" spans="4:37" ht="14.25" customHeight="1">
      <c r="D73" s="64"/>
      <c r="E73" s="64"/>
      <c r="F73" s="64"/>
      <c r="G73" s="65"/>
      <c r="H73" s="66" t="s">
        <v>762</v>
      </c>
      <c r="I73" s="64" t="s">
        <v>141</v>
      </c>
      <c r="J73" s="64" t="s">
        <v>236</v>
      </c>
      <c r="K73" s="67" t="s">
        <v>315</v>
      </c>
      <c r="L73" s="69" t="s">
        <v>317</v>
      </c>
      <c r="M73" s="64" t="s">
        <v>770</v>
      </c>
      <c r="N73" s="64"/>
      <c r="O73" s="64" t="s">
        <v>442</v>
      </c>
      <c r="P73" s="64"/>
      <c r="Q73" s="64" t="s">
        <v>517</v>
      </c>
      <c r="R73" s="64"/>
      <c r="S73" s="64" t="s">
        <v>771</v>
      </c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71"/>
      <c r="AE73" s="72"/>
      <c r="AF73" s="72"/>
      <c r="AG73" s="72"/>
      <c r="AH73" s="72"/>
      <c r="AI73" s="72"/>
      <c r="AJ73" s="72"/>
      <c r="AK73" s="72"/>
    </row>
    <row r="74" spans="4:37" ht="14.25" customHeight="1"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71"/>
      <c r="AE74" s="72"/>
      <c r="AF74" s="72"/>
      <c r="AG74" s="72"/>
      <c r="AH74" s="72"/>
      <c r="AI74" s="72"/>
      <c r="AJ74" s="72"/>
      <c r="AK74" s="72"/>
    </row>
    <row r="75" spans="4:37" ht="14.25" customHeight="1"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71"/>
      <c r="AE75" s="72"/>
      <c r="AF75" s="72"/>
      <c r="AG75" s="72"/>
      <c r="AH75" s="72"/>
      <c r="AI75" s="72"/>
      <c r="AJ75" s="72"/>
      <c r="AK75" s="72"/>
    </row>
    <row r="76" spans="4:37" ht="14.25" customHeight="1">
      <c r="D76" s="64"/>
      <c r="E76" s="64"/>
      <c r="F76" s="64"/>
      <c r="G76" s="65"/>
      <c r="H76" s="66" t="s">
        <v>762</v>
      </c>
      <c r="I76" s="64" t="s">
        <v>141</v>
      </c>
      <c r="J76" s="64" t="s">
        <v>237</v>
      </c>
      <c r="K76" s="67" t="s">
        <v>315</v>
      </c>
      <c r="L76" s="67" t="s">
        <v>320</v>
      </c>
      <c r="M76" s="67" t="s">
        <v>321</v>
      </c>
      <c r="N76" s="67" t="s">
        <v>323</v>
      </c>
      <c r="O76" s="69" t="s">
        <v>322</v>
      </c>
      <c r="P76" s="69" t="s">
        <v>772</v>
      </c>
      <c r="Q76" s="64" t="s">
        <v>768</v>
      </c>
      <c r="R76" s="64" t="s">
        <v>769</v>
      </c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71"/>
      <c r="AE76" s="72"/>
      <c r="AF76" s="72"/>
      <c r="AG76" s="72"/>
      <c r="AH76" s="72"/>
      <c r="AI76" s="72"/>
      <c r="AJ76" s="72"/>
      <c r="AK76" s="72"/>
    </row>
    <row r="77" spans="4:37" ht="14.25" customHeight="1"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71"/>
      <c r="AE77" s="72"/>
      <c r="AF77" s="72"/>
      <c r="AG77" s="72"/>
      <c r="AH77" s="72"/>
      <c r="AI77" s="72"/>
      <c r="AJ77" s="72"/>
      <c r="AK77" s="72"/>
    </row>
    <row r="78" spans="4:37" ht="14.25" customHeight="1"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71"/>
      <c r="AE78" s="72"/>
      <c r="AF78" s="72"/>
      <c r="AG78" s="72"/>
      <c r="AH78" s="72"/>
      <c r="AI78" s="72"/>
      <c r="AJ78" s="72"/>
      <c r="AK78" s="72"/>
    </row>
    <row r="79" spans="4:37" ht="14.25" customHeight="1">
      <c r="D79" s="64"/>
      <c r="E79" s="64"/>
      <c r="F79" s="64"/>
      <c r="G79" s="65"/>
      <c r="H79" s="66" t="s">
        <v>762</v>
      </c>
      <c r="I79" s="64" t="s">
        <v>141</v>
      </c>
      <c r="J79" s="64" t="s">
        <v>238</v>
      </c>
      <c r="K79" s="67" t="s">
        <v>315</v>
      </c>
      <c r="L79" s="69" t="s">
        <v>773</v>
      </c>
      <c r="M79" s="69" t="s">
        <v>317</v>
      </c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71"/>
      <c r="AE79" s="72"/>
      <c r="AF79" s="72"/>
      <c r="AG79" s="72"/>
      <c r="AH79" s="72"/>
      <c r="AI79" s="72"/>
      <c r="AJ79" s="72"/>
      <c r="AK79" s="72"/>
    </row>
    <row r="80" spans="4:37" ht="14.25" customHeight="1"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71"/>
      <c r="AE80" s="72"/>
      <c r="AF80" s="72"/>
      <c r="AG80" s="72"/>
      <c r="AH80" s="72"/>
      <c r="AI80" s="72"/>
      <c r="AJ80" s="72"/>
      <c r="AK80" s="72"/>
    </row>
    <row r="81" spans="4:37" ht="14.25" customHeight="1"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71"/>
      <c r="AE81" s="72"/>
      <c r="AF81" s="72"/>
      <c r="AG81" s="72"/>
      <c r="AH81" s="72"/>
      <c r="AI81" s="72"/>
      <c r="AJ81" s="72"/>
      <c r="AK81" s="72"/>
    </row>
    <row r="82" spans="4:37" ht="14.25" customHeight="1">
      <c r="D82" s="64"/>
      <c r="E82" s="64"/>
      <c r="F82" s="64"/>
      <c r="G82" s="65"/>
      <c r="H82" s="66" t="s">
        <v>762</v>
      </c>
      <c r="I82" s="64" t="s">
        <v>141</v>
      </c>
      <c r="J82" s="64" t="s">
        <v>240</v>
      </c>
      <c r="K82" s="67" t="s">
        <v>315</v>
      </c>
      <c r="L82" s="67" t="s">
        <v>320</v>
      </c>
      <c r="M82" s="67" t="s">
        <v>323</v>
      </c>
      <c r="N82" s="69" t="s">
        <v>322</v>
      </c>
      <c r="O82" s="69" t="s">
        <v>772</v>
      </c>
      <c r="P82" s="64" t="s">
        <v>768</v>
      </c>
      <c r="Q82" s="64" t="s">
        <v>769</v>
      </c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71"/>
      <c r="AE82" s="72"/>
      <c r="AF82" s="72"/>
      <c r="AG82" s="72"/>
      <c r="AH82" s="72"/>
      <c r="AI82" s="72"/>
      <c r="AJ82" s="72"/>
      <c r="AK82" s="72"/>
    </row>
    <row r="83" spans="4:37" ht="14.25" customHeight="1"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71"/>
      <c r="AE83" s="72"/>
      <c r="AF83" s="72"/>
      <c r="AG83" s="72"/>
      <c r="AH83" s="72"/>
      <c r="AI83" s="72"/>
      <c r="AJ83" s="72"/>
      <c r="AK83" s="72"/>
    </row>
    <row r="84" spans="4:37" ht="14.25" customHeight="1"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71"/>
      <c r="AE84" s="72"/>
      <c r="AF84" s="72"/>
      <c r="AG84" s="72"/>
      <c r="AH84" s="72"/>
      <c r="AI84" s="72"/>
      <c r="AJ84" s="72"/>
      <c r="AK84" s="72"/>
    </row>
    <row r="85" spans="4:37" ht="14.25" customHeight="1">
      <c r="D85" s="64"/>
      <c r="E85" s="64"/>
      <c r="F85" s="64"/>
      <c r="G85" s="65"/>
      <c r="H85" s="66" t="s">
        <v>762</v>
      </c>
      <c r="I85" s="64" t="s">
        <v>141</v>
      </c>
      <c r="J85" s="64" t="s">
        <v>241</v>
      </c>
      <c r="K85" s="64" t="s">
        <v>774</v>
      </c>
      <c r="L85" s="69" t="s">
        <v>324</v>
      </c>
      <c r="M85" s="64" t="s">
        <v>775</v>
      </c>
      <c r="N85" s="64" t="s">
        <v>776</v>
      </c>
      <c r="O85" s="64" t="s">
        <v>777</v>
      </c>
      <c r="P85" s="69" t="s">
        <v>325</v>
      </c>
      <c r="Q85" s="69" t="s">
        <v>326</v>
      </c>
      <c r="R85" s="69" t="s">
        <v>327</v>
      </c>
      <c r="S85" s="64" t="s">
        <v>778</v>
      </c>
      <c r="T85" s="68" t="s">
        <v>779</v>
      </c>
      <c r="U85" s="69" t="s">
        <v>90</v>
      </c>
      <c r="V85" s="64" t="s">
        <v>768</v>
      </c>
      <c r="W85" s="64" t="s">
        <v>769</v>
      </c>
      <c r="X85" s="64"/>
      <c r="Y85" s="64"/>
      <c r="Z85" s="64"/>
      <c r="AA85" s="64"/>
      <c r="AB85" s="64"/>
      <c r="AC85" s="64"/>
      <c r="AD85" s="71"/>
      <c r="AE85" s="72"/>
      <c r="AF85" s="72"/>
      <c r="AG85" s="72"/>
      <c r="AH85" s="72"/>
      <c r="AI85" s="72"/>
      <c r="AJ85" s="72"/>
      <c r="AK85" s="72"/>
    </row>
    <row r="86" spans="4:37" ht="14.25" customHeight="1"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71"/>
      <c r="AE86" s="72"/>
      <c r="AF86" s="72"/>
      <c r="AG86" s="72"/>
      <c r="AH86" s="72"/>
      <c r="AI86" s="72"/>
      <c r="AJ86" s="72"/>
      <c r="AK86" s="72"/>
    </row>
    <row r="87" spans="4:37" ht="14.25" customHeight="1"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71"/>
      <c r="AE87" s="72"/>
      <c r="AF87" s="72"/>
      <c r="AG87" s="72"/>
      <c r="AH87" s="72"/>
      <c r="AI87" s="72"/>
      <c r="AJ87" s="72"/>
      <c r="AK87" s="72"/>
    </row>
    <row r="88" spans="4:37" ht="14.25" customHeight="1">
      <c r="D88" s="64"/>
      <c r="E88" s="64"/>
      <c r="F88" s="64"/>
      <c r="G88" s="65"/>
      <c r="H88" s="66" t="s">
        <v>762</v>
      </c>
      <c r="I88" s="64" t="s">
        <v>213</v>
      </c>
      <c r="J88" s="64" t="s">
        <v>242</v>
      </c>
      <c r="K88" s="67" t="s">
        <v>315</v>
      </c>
      <c r="L88" s="69" t="s">
        <v>317</v>
      </c>
      <c r="M88" s="64" t="s">
        <v>780</v>
      </c>
      <c r="N88" s="64" t="s">
        <v>781</v>
      </c>
      <c r="O88" s="64"/>
      <c r="P88" s="64"/>
      <c r="Q88" s="64"/>
      <c r="R88" s="64"/>
      <c r="S88" s="64"/>
      <c r="T88" s="64"/>
      <c r="U88" s="64"/>
      <c r="V88" s="64"/>
      <c r="W88" s="64"/>
      <c r="Y88" s="64"/>
      <c r="Z88" s="64"/>
      <c r="AA88" s="64"/>
      <c r="AB88" s="64"/>
      <c r="AC88" s="64"/>
      <c r="AD88" s="71"/>
      <c r="AE88" s="72"/>
      <c r="AF88" s="72"/>
      <c r="AG88" s="72"/>
      <c r="AH88" s="72"/>
      <c r="AI88" s="72"/>
      <c r="AJ88" s="72"/>
      <c r="AK88" s="72"/>
    </row>
    <row r="89" spans="4:37" ht="14.25" customHeight="1">
      <c r="D89" s="64"/>
      <c r="E89" s="64"/>
      <c r="F89" s="64"/>
      <c r="G89" s="65" t="s">
        <v>830</v>
      </c>
      <c r="H89" s="64"/>
      <c r="I89" s="64" t="s">
        <v>213</v>
      </c>
      <c r="J89" s="64" t="s">
        <v>242</v>
      </c>
      <c r="K89" s="64" t="s">
        <v>821</v>
      </c>
      <c r="L89" s="64" t="s">
        <v>848</v>
      </c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Y89" s="64"/>
      <c r="Z89" s="64"/>
      <c r="AA89" s="64"/>
      <c r="AB89" s="64"/>
      <c r="AC89" s="64"/>
      <c r="AD89" s="71"/>
      <c r="AE89" s="72"/>
      <c r="AF89" s="72"/>
      <c r="AG89" s="72"/>
      <c r="AH89" s="72"/>
      <c r="AI89" s="72"/>
      <c r="AJ89" s="72"/>
      <c r="AK89" s="72"/>
    </row>
    <row r="90" spans="4:37" ht="14.25" customHeight="1"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Y90" s="64"/>
      <c r="Z90" s="64"/>
      <c r="AA90" s="64"/>
      <c r="AB90" s="64"/>
      <c r="AC90" s="64"/>
      <c r="AD90" s="71"/>
      <c r="AE90" s="72"/>
      <c r="AF90" s="72"/>
      <c r="AG90" s="72"/>
      <c r="AH90" s="72"/>
      <c r="AI90" s="72"/>
      <c r="AJ90" s="72"/>
      <c r="AK90" s="72"/>
    </row>
    <row r="91" spans="4:37" ht="14.25" customHeight="1">
      <c r="D91" s="64"/>
      <c r="E91" s="64"/>
      <c r="F91" s="64"/>
      <c r="G91" s="65"/>
      <c r="H91" s="66" t="s">
        <v>762</v>
      </c>
      <c r="I91" s="64" t="s">
        <v>213</v>
      </c>
      <c r="J91" s="64" t="s">
        <v>243</v>
      </c>
      <c r="K91" s="67" t="s">
        <v>315</v>
      </c>
      <c r="L91" s="69" t="s">
        <v>317</v>
      </c>
      <c r="M91" s="64" t="s">
        <v>780</v>
      </c>
      <c r="N91" s="64" t="s">
        <v>781</v>
      </c>
      <c r="O91" s="64"/>
      <c r="P91" s="64"/>
      <c r="Q91" s="64"/>
      <c r="R91" s="64"/>
      <c r="S91" s="64"/>
      <c r="T91" s="64"/>
      <c r="U91" s="64"/>
      <c r="V91" s="64"/>
      <c r="W91" s="64"/>
      <c r="Y91" s="64"/>
      <c r="Z91" s="64"/>
      <c r="AA91" s="64"/>
      <c r="AB91" s="64"/>
      <c r="AC91" s="64"/>
      <c r="AD91" s="71"/>
      <c r="AE91" s="72"/>
      <c r="AF91" s="72"/>
      <c r="AG91" s="72"/>
      <c r="AH91" s="72"/>
      <c r="AI91" s="72"/>
      <c r="AJ91" s="72"/>
      <c r="AK91" s="72"/>
    </row>
    <row r="92" spans="4:37" ht="14.25" customHeight="1">
      <c r="D92" s="64"/>
      <c r="E92" s="64"/>
      <c r="F92" s="64"/>
      <c r="G92" s="65" t="s">
        <v>24</v>
      </c>
      <c r="H92" s="64"/>
      <c r="I92" s="64" t="s">
        <v>213</v>
      </c>
      <c r="J92" s="64" t="s">
        <v>243</v>
      </c>
      <c r="K92" s="64" t="s">
        <v>821</v>
      </c>
      <c r="L92" s="64" t="s">
        <v>849</v>
      </c>
      <c r="M92" s="64"/>
      <c r="N92" s="64"/>
      <c r="O92" s="64"/>
      <c r="P92" s="64"/>
      <c r="Q92" s="64"/>
      <c r="R92" s="64"/>
      <c r="S92" s="64"/>
      <c r="Y92" s="64"/>
      <c r="Z92" s="64"/>
      <c r="AA92" s="64"/>
      <c r="AB92" s="64"/>
      <c r="AC92" s="64"/>
      <c r="AD92" s="71"/>
      <c r="AE92" s="72"/>
      <c r="AF92" s="72"/>
      <c r="AG92" s="72"/>
      <c r="AH92" s="72"/>
      <c r="AI92" s="72"/>
      <c r="AJ92" s="72"/>
      <c r="AK92" s="72"/>
    </row>
    <row r="93" spans="4:37" ht="14.25" customHeight="1"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71"/>
      <c r="AE93" s="72"/>
      <c r="AF93" s="72"/>
      <c r="AG93" s="72"/>
      <c r="AH93" s="72"/>
      <c r="AI93" s="72"/>
      <c r="AJ93" s="72"/>
      <c r="AK93" s="72"/>
    </row>
    <row r="94" spans="4:37" ht="14.25" customHeight="1">
      <c r="D94" s="64"/>
      <c r="E94" s="64"/>
      <c r="F94" s="64"/>
      <c r="G94" s="65"/>
      <c r="H94" s="66" t="s">
        <v>762</v>
      </c>
      <c r="I94" s="64" t="s">
        <v>99</v>
      </c>
      <c r="J94" s="64" t="s">
        <v>244</v>
      </c>
      <c r="K94" s="69" t="s">
        <v>317</v>
      </c>
      <c r="L94" s="69" t="s">
        <v>782</v>
      </c>
      <c r="M94" s="69" t="s">
        <v>783</v>
      </c>
      <c r="N94" s="67" t="s">
        <v>315</v>
      </c>
      <c r="O94" s="64" t="s">
        <v>784</v>
      </c>
      <c r="P94" s="69" t="s">
        <v>785</v>
      </c>
      <c r="Q94" s="69" t="s">
        <v>316</v>
      </c>
      <c r="R94" s="69" t="s">
        <v>786</v>
      </c>
      <c r="S94" s="69" t="s">
        <v>328</v>
      </c>
      <c r="T94" s="64" t="s">
        <v>787</v>
      </c>
      <c r="U94" s="64" t="s">
        <v>788</v>
      </c>
      <c r="V94" s="64" t="s">
        <v>789</v>
      </c>
      <c r="W94" s="70" t="s">
        <v>790</v>
      </c>
      <c r="X94" s="64" t="s">
        <v>768</v>
      </c>
      <c r="Y94" s="64" t="s">
        <v>769</v>
      </c>
      <c r="Z94" s="64"/>
      <c r="AA94" s="64"/>
      <c r="AB94" s="64"/>
      <c r="AC94" s="64"/>
      <c r="AD94" s="71"/>
      <c r="AE94" s="72"/>
      <c r="AF94" s="72"/>
      <c r="AG94" s="72"/>
      <c r="AH94" s="72"/>
      <c r="AI94" s="72"/>
      <c r="AJ94" s="72"/>
      <c r="AK94" s="72"/>
    </row>
    <row r="95" spans="4:37" ht="14.25" customHeight="1"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71"/>
      <c r="AE95" s="72"/>
      <c r="AF95" s="72"/>
      <c r="AG95" s="72"/>
      <c r="AH95" s="72"/>
      <c r="AI95" s="72"/>
      <c r="AJ95" s="72"/>
      <c r="AK95" s="72"/>
    </row>
    <row r="96" spans="4:37" ht="14.25" customHeight="1"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71"/>
      <c r="AE96" s="72"/>
      <c r="AF96" s="72"/>
      <c r="AG96" s="72"/>
      <c r="AH96" s="72"/>
      <c r="AI96" s="72"/>
      <c r="AJ96" s="72"/>
      <c r="AK96" s="72"/>
    </row>
    <row r="97" spans="4:37" ht="14.25" customHeight="1">
      <c r="D97" s="64"/>
      <c r="E97" s="64"/>
      <c r="F97" s="64"/>
      <c r="G97" s="65"/>
      <c r="H97" s="66" t="s">
        <v>762</v>
      </c>
      <c r="I97" s="64" t="s">
        <v>99</v>
      </c>
      <c r="J97" s="64" t="s">
        <v>245</v>
      </c>
      <c r="K97" s="69" t="s">
        <v>317</v>
      </c>
      <c r="L97" s="64" t="s">
        <v>329</v>
      </c>
      <c r="M97" s="64" t="s">
        <v>791</v>
      </c>
      <c r="N97" s="64" t="s">
        <v>792</v>
      </c>
      <c r="O97" s="69" t="s">
        <v>315</v>
      </c>
      <c r="P97" s="64" t="s">
        <v>784</v>
      </c>
      <c r="Q97" s="69" t="s">
        <v>785</v>
      </c>
      <c r="R97" s="69" t="s">
        <v>316</v>
      </c>
      <c r="S97" s="69" t="s">
        <v>786</v>
      </c>
      <c r="T97" s="69" t="s">
        <v>89</v>
      </c>
      <c r="U97" s="69" t="s">
        <v>328</v>
      </c>
      <c r="V97" s="64" t="s">
        <v>778</v>
      </c>
      <c r="W97" s="68" t="s">
        <v>779</v>
      </c>
      <c r="X97" s="69" t="s">
        <v>90</v>
      </c>
      <c r="Y97" s="69" t="s">
        <v>330</v>
      </c>
      <c r="Z97" s="70" t="s">
        <v>768</v>
      </c>
      <c r="AA97" s="64" t="s">
        <v>793</v>
      </c>
      <c r="AB97" s="64"/>
      <c r="AC97" s="64"/>
      <c r="AD97" s="71"/>
      <c r="AE97" s="72"/>
      <c r="AF97" s="72"/>
      <c r="AG97" s="72"/>
      <c r="AH97" s="72"/>
      <c r="AI97" s="72"/>
      <c r="AJ97" s="72"/>
      <c r="AK97" s="72"/>
    </row>
    <row r="98" spans="4:37" ht="14.25" customHeight="1">
      <c r="D98" s="64"/>
      <c r="E98" s="64"/>
      <c r="F98" s="64"/>
      <c r="G98" s="65" t="s">
        <v>832</v>
      </c>
      <c r="H98" s="64"/>
      <c r="I98" s="64" t="s">
        <v>99</v>
      </c>
      <c r="J98" s="64" t="s">
        <v>245</v>
      </c>
      <c r="K98" s="64" t="s">
        <v>822</v>
      </c>
      <c r="L98" s="64"/>
      <c r="M98" s="64"/>
      <c r="N98" s="64"/>
      <c r="O98" s="64"/>
      <c r="P98" s="64"/>
      <c r="Q98" s="64">
        <v>128</v>
      </c>
      <c r="R98" s="64" t="s">
        <v>864</v>
      </c>
      <c r="S98" s="64">
        <v>8</v>
      </c>
      <c r="T98" s="64" t="s">
        <v>854</v>
      </c>
      <c r="U98" s="64" t="s">
        <v>857</v>
      </c>
      <c r="V98" s="64"/>
      <c r="W98" s="64">
        <v>5.28E-2</v>
      </c>
      <c r="X98" s="64">
        <v>22</v>
      </c>
      <c r="Y98" s="64" t="s">
        <v>859</v>
      </c>
      <c r="Z98" s="64"/>
      <c r="AA98" s="64"/>
      <c r="AB98" s="64"/>
      <c r="AC98" s="64"/>
      <c r="AD98" s="71"/>
      <c r="AE98" s="72"/>
      <c r="AF98" s="72"/>
      <c r="AG98" s="72"/>
      <c r="AH98" s="72"/>
      <c r="AI98" s="72"/>
      <c r="AJ98" s="72"/>
      <c r="AK98" s="72"/>
    </row>
    <row r="99" spans="4:37" ht="14.25" customHeight="1"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74"/>
      <c r="X99" s="64"/>
      <c r="Y99" s="64"/>
      <c r="Z99" s="64"/>
      <c r="AA99" s="64"/>
      <c r="AB99" s="64"/>
      <c r="AC99" s="64"/>
      <c r="AD99" s="71"/>
      <c r="AE99" s="72"/>
      <c r="AF99" s="72"/>
      <c r="AG99" s="72"/>
      <c r="AH99" s="72"/>
      <c r="AI99" s="72"/>
      <c r="AJ99" s="72"/>
      <c r="AK99" s="72"/>
    </row>
    <row r="100" spans="4:37" ht="14.25" customHeight="1">
      <c r="D100" s="64"/>
      <c r="E100" s="64"/>
      <c r="F100" s="64"/>
      <c r="G100" s="65"/>
      <c r="H100" s="66" t="s">
        <v>762</v>
      </c>
      <c r="I100" s="64" t="s">
        <v>99</v>
      </c>
      <c r="J100" s="64" t="s">
        <v>246</v>
      </c>
      <c r="K100" s="64" t="s">
        <v>331</v>
      </c>
      <c r="L100" s="67" t="s">
        <v>315</v>
      </c>
      <c r="M100" s="64" t="s">
        <v>784</v>
      </c>
      <c r="N100" s="69" t="s">
        <v>786</v>
      </c>
      <c r="O100" s="69" t="s">
        <v>89</v>
      </c>
      <c r="P100" s="69" t="s">
        <v>328</v>
      </c>
      <c r="Q100" s="64" t="s">
        <v>778</v>
      </c>
      <c r="R100" s="68" t="s">
        <v>779</v>
      </c>
      <c r="S100" s="69" t="s">
        <v>90</v>
      </c>
      <c r="T100" s="69" t="s">
        <v>877</v>
      </c>
      <c r="U100" s="70" t="s">
        <v>768</v>
      </c>
      <c r="V100" s="64" t="s">
        <v>793</v>
      </c>
      <c r="W100" s="64"/>
      <c r="X100" s="64"/>
      <c r="Y100" s="64"/>
      <c r="Z100" s="64"/>
      <c r="AA100" s="64"/>
      <c r="AB100" s="64"/>
      <c r="AC100" s="64"/>
      <c r="AD100" s="71"/>
      <c r="AE100" s="72"/>
      <c r="AF100" s="72"/>
      <c r="AG100" s="72"/>
      <c r="AH100" s="72"/>
      <c r="AI100" s="72"/>
      <c r="AJ100" s="72"/>
      <c r="AK100" s="72"/>
    </row>
    <row r="101" spans="4:37" ht="14.25" customHeight="1"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71"/>
      <c r="AE101" s="72"/>
      <c r="AF101" s="72"/>
      <c r="AG101" s="72"/>
      <c r="AH101" s="72"/>
      <c r="AI101" s="72"/>
      <c r="AJ101" s="72"/>
      <c r="AK101" s="72"/>
    </row>
    <row r="102" spans="4:37" ht="14.25" customHeight="1"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71"/>
      <c r="AE102" s="72"/>
      <c r="AF102" s="72"/>
      <c r="AG102" s="72"/>
      <c r="AH102" s="72"/>
      <c r="AI102" s="72"/>
      <c r="AJ102" s="72"/>
      <c r="AK102" s="72"/>
    </row>
    <row r="103" spans="4:37" ht="14.25" customHeight="1">
      <c r="D103" s="64"/>
      <c r="E103" s="64"/>
      <c r="F103" s="64"/>
      <c r="G103" s="65"/>
      <c r="H103" s="66" t="s">
        <v>762</v>
      </c>
      <c r="I103" s="64" t="s">
        <v>99</v>
      </c>
      <c r="J103" s="64" t="s">
        <v>247</v>
      </c>
      <c r="K103" s="64" t="s">
        <v>331</v>
      </c>
      <c r="L103" s="69" t="s">
        <v>332</v>
      </c>
      <c r="M103" s="67" t="s">
        <v>315</v>
      </c>
      <c r="N103" s="64" t="s">
        <v>784</v>
      </c>
      <c r="O103" s="69" t="s">
        <v>794</v>
      </c>
      <c r="P103" s="69" t="s">
        <v>89</v>
      </c>
      <c r="Q103" s="69" t="s">
        <v>328</v>
      </c>
      <c r="R103" s="64" t="s">
        <v>778</v>
      </c>
      <c r="S103" s="68" t="s">
        <v>779</v>
      </c>
      <c r="T103" s="69" t="s">
        <v>90</v>
      </c>
      <c r="U103" s="69" t="s">
        <v>877</v>
      </c>
      <c r="V103" s="70" t="s">
        <v>768</v>
      </c>
      <c r="W103" s="64" t="s">
        <v>793</v>
      </c>
      <c r="X103" s="64"/>
      <c r="Y103" s="64"/>
      <c r="Z103" s="64"/>
      <c r="AA103" s="64"/>
      <c r="AB103" s="64"/>
      <c r="AC103" s="64"/>
      <c r="AD103" s="71"/>
      <c r="AE103" s="72"/>
      <c r="AF103" s="72"/>
      <c r="AG103" s="72"/>
      <c r="AH103" s="72"/>
      <c r="AI103" s="72"/>
      <c r="AJ103" s="72"/>
      <c r="AK103" s="72"/>
    </row>
    <row r="104" spans="4:37" ht="14.25" customHeight="1"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71"/>
      <c r="AE104" s="72"/>
      <c r="AF104" s="72"/>
      <c r="AG104" s="72"/>
      <c r="AH104" s="72"/>
      <c r="AI104" s="72"/>
      <c r="AJ104" s="72"/>
      <c r="AK104" s="72"/>
    </row>
    <row r="105" spans="4:37" ht="14.25" customHeight="1"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71"/>
      <c r="AE105" s="72"/>
      <c r="AF105" s="72"/>
      <c r="AG105" s="72"/>
      <c r="AH105" s="72"/>
      <c r="AI105" s="72"/>
      <c r="AJ105" s="72"/>
      <c r="AK105" s="72"/>
    </row>
    <row r="106" spans="4:37" ht="14.25" customHeight="1">
      <c r="D106" s="64"/>
      <c r="E106" s="64"/>
      <c r="F106" s="64"/>
      <c r="G106" s="65"/>
      <c r="H106" s="66" t="s">
        <v>762</v>
      </c>
      <c r="I106" s="64" t="s">
        <v>866</v>
      </c>
      <c r="J106" s="64" t="s">
        <v>248</v>
      </c>
      <c r="K106" s="67" t="s">
        <v>870</v>
      </c>
      <c r="L106" s="64" t="s">
        <v>784</v>
      </c>
      <c r="M106" s="69" t="s">
        <v>872</v>
      </c>
      <c r="N106" s="69" t="s">
        <v>873</v>
      </c>
      <c r="O106" s="69" t="s">
        <v>874</v>
      </c>
      <c r="P106" s="69" t="s">
        <v>875</v>
      </c>
      <c r="Q106" s="64" t="s">
        <v>778</v>
      </c>
      <c r="R106" s="68" t="s">
        <v>779</v>
      </c>
      <c r="S106" s="69" t="s">
        <v>876</v>
      </c>
      <c r="T106" s="69" t="s">
        <v>877</v>
      </c>
      <c r="U106" s="70" t="s">
        <v>768</v>
      </c>
      <c r="V106" s="64" t="s">
        <v>793</v>
      </c>
      <c r="W106" s="64"/>
      <c r="X106" s="64"/>
      <c r="Y106" s="64"/>
      <c r="Z106" s="64"/>
      <c r="AA106" s="64"/>
      <c r="AB106" s="64"/>
      <c r="AC106" s="64"/>
      <c r="AD106" s="71"/>
      <c r="AE106" s="72"/>
      <c r="AF106" s="72"/>
      <c r="AG106" s="72"/>
      <c r="AH106" s="72"/>
      <c r="AI106" s="72"/>
      <c r="AJ106" s="72"/>
      <c r="AK106" s="72"/>
    </row>
    <row r="107" spans="4:37" ht="14.25" customHeight="1">
      <c r="D107" s="64"/>
      <c r="E107" s="64"/>
      <c r="F107" s="64"/>
      <c r="G107" s="65" t="s">
        <v>833</v>
      </c>
      <c r="H107" s="64"/>
      <c r="I107" s="64" t="s">
        <v>866</v>
      </c>
      <c r="J107" s="64" t="s">
        <v>869</v>
      </c>
      <c r="K107" s="64" t="s">
        <v>823</v>
      </c>
      <c r="L107" s="64"/>
      <c r="M107" s="64">
        <v>0</v>
      </c>
      <c r="N107" s="64">
        <v>12</v>
      </c>
      <c r="O107" s="64" t="s">
        <v>854</v>
      </c>
      <c r="P107" s="64" t="s">
        <v>857</v>
      </c>
      <c r="Q107" s="64"/>
      <c r="R107" s="64">
        <v>2.64E-2</v>
      </c>
      <c r="S107" s="64">
        <v>22</v>
      </c>
      <c r="T107" s="64" t="s">
        <v>859</v>
      </c>
      <c r="U107" s="64"/>
      <c r="V107" s="64"/>
      <c r="W107" s="64"/>
      <c r="X107" s="64"/>
      <c r="Y107" s="64"/>
      <c r="Z107" s="64"/>
      <c r="AA107" s="64"/>
      <c r="AB107" s="64"/>
      <c r="AC107" s="64"/>
      <c r="AD107" s="71"/>
      <c r="AE107" s="72"/>
      <c r="AF107" s="72"/>
      <c r="AG107" s="72"/>
      <c r="AH107" s="72"/>
      <c r="AI107" s="72"/>
      <c r="AJ107" s="72"/>
      <c r="AK107" s="72"/>
    </row>
    <row r="108" spans="4:37" ht="14.25" customHeight="1">
      <c r="D108" s="64"/>
      <c r="E108" s="64"/>
      <c r="F108" s="64"/>
      <c r="G108" s="75"/>
      <c r="H108" s="64"/>
      <c r="I108" s="64"/>
      <c r="J108" s="64"/>
      <c r="K108" s="75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71"/>
      <c r="AE108" s="72"/>
      <c r="AF108" s="72"/>
      <c r="AG108" s="72"/>
      <c r="AH108" s="72"/>
      <c r="AI108" s="72"/>
      <c r="AJ108" s="72"/>
      <c r="AK108" s="72"/>
    </row>
    <row r="109" spans="4:37" ht="14.25" customHeight="1">
      <c r="D109" s="64"/>
      <c r="E109" s="64"/>
      <c r="F109" s="64"/>
      <c r="G109" s="65"/>
      <c r="H109" s="66" t="s">
        <v>762</v>
      </c>
      <c r="I109" s="64" t="s">
        <v>99</v>
      </c>
      <c r="J109" s="64" t="s">
        <v>249</v>
      </c>
      <c r="K109" s="69" t="s">
        <v>333</v>
      </c>
      <c r="L109" s="67" t="s">
        <v>315</v>
      </c>
      <c r="M109" s="64" t="s">
        <v>784</v>
      </c>
      <c r="N109" s="69" t="s">
        <v>795</v>
      </c>
      <c r="O109" s="69" t="s">
        <v>786</v>
      </c>
      <c r="P109" s="69" t="s">
        <v>89</v>
      </c>
      <c r="Q109" s="69" t="s">
        <v>328</v>
      </c>
      <c r="R109" s="64" t="s">
        <v>778</v>
      </c>
      <c r="S109" s="68" t="s">
        <v>779</v>
      </c>
      <c r="T109" s="69" t="s">
        <v>90</v>
      </c>
      <c r="U109" s="69" t="s">
        <v>330</v>
      </c>
      <c r="V109" s="70" t="s">
        <v>768</v>
      </c>
      <c r="W109" s="64" t="s">
        <v>793</v>
      </c>
      <c r="X109" s="64"/>
      <c r="Y109" s="64"/>
      <c r="Z109" s="64"/>
      <c r="AA109" s="64"/>
      <c r="AB109" s="64"/>
      <c r="AC109" s="64"/>
      <c r="AD109" s="71"/>
      <c r="AE109" s="72"/>
      <c r="AF109" s="72"/>
      <c r="AG109" s="72"/>
      <c r="AH109" s="72"/>
      <c r="AI109" s="72"/>
      <c r="AJ109" s="72"/>
      <c r="AK109" s="72"/>
    </row>
    <row r="110" spans="4:37" ht="14.25" customHeight="1">
      <c r="D110" s="64"/>
      <c r="E110" s="64"/>
      <c r="F110" s="64"/>
      <c r="G110" s="65" t="s">
        <v>834</v>
      </c>
      <c r="H110" s="64"/>
      <c r="I110" s="64" t="s">
        <v>99</v>
      </c>
      <c r="J110" s="64" t="s">
        <v>249</v>
      </c>
      <c r="K110" s="64" t="s">
        <v>824</v>
      </c>
      <c r="L110" s="64" t="s">
        <v>823</v>
      </c>
      <c r="M110" s="64"/>
      <c r="N110" s="64">
        <v>6</v>
      </c>
      <c r="O110" s="64">
        <v>16</v>
      </c>
      <c r="P110" s="64" t="s">
        <v>854</v>
      </c>
      <c r="Q110" s="64" t="s">
        <v>857</v>
      </c>
      <c r="R110" s="64"/>
      <c r="S110" s="64">
        <v>0.60060000000000002</v>
      </c>
      <c r="T110" s="64">
        <v>41.5</v>
      </c>
      <c r="U110" s="64" t="s">
        <v>859</v>
      </c>
      <c r="V110" s="64"/>
      <c r="W110" s="64"/>
      <c r="X110" s="64"/>
      <c r="Y110" s="64"/>
      <c r="Z110" s="64"/>
      <c r="AA110" s="64"/>
      <c r="AB110" s="64"/>
      <c r="AC110" s="64"/>
      <c r="AD110" s="71"/>
      <c r="AE110" s="72"/>
      <c r="AF110" s="72"/>
      <c r="AG110" s="72"/>
      <c r="AH110" s="72"/>
      <c r="AI110" s="72"/>
      <c r="AJ110" s="72"/>
      <c r="AK110" s="72"/>
    </row>
    <row r="111" spans="4:37" ht="14.25" customHeight="1"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71"/>
      <c r="AE111" s="72"/>
      <c r="AF111" s="72"/>
      <c r="AG111" s="72"/>
      <c r="AH111" s="72"/>
      <c r="AI111" s="72"/>
      <c r="AJ111" s="72"/>
      <c r="AK111" s="72"/>
    </row>
    <row r="112" spans="4:37" ht="14.25" customHeight="1">
      <c r="D112" s="64"/>
      <c r="E112" s="64"/>
      <c r="F112" s="64"/>
      <c r="G112" s="65"/>
      <c r="H112" s="66" t="s">
        <v>762</v>
      </c>
      <c r="I112" s="64" t="s">
        <v>99</v>
      </c>
      <c r="J112" s="64" t="s">
        <v>250</v>
      </c>
      <c r="K112" s="69" t="s">
        <v>317</v>
      </c>
      <c r="L112" s="67" t="s">
        <v>333</v>
      </c>
      <c r="M112" s="67" t="s">
        <v>315</v>
      </c>
      <c r="N112" s="64" t="s">
        <v>784</v>
      </c>
      <c r="O112" s="69" t="s">
        <v>785</v>
      </c>
      <c r="P112" s="69" t="s">
        <v>316</v>
      </c>
      <c r="Q112" s="69" t="s">
        <v>786</v>
      </c>
      <c r="R112" s="69" t="s">
        <v>89</v>
      </c>
      <c r="S112" s="69" t="s">
        <v>328</v>
      </c>
      <c r="T112" s="64" t="s">
        <v>778</v>
      </c>
      <c r="U112" s="68" t="s">
        <v>779</v>
      </c>
      <c r="V112" s="69" t="s">
        <v>90</v>
      </c>
      <c r="W112" s="69" t="s">
        <v>330</v>
      </c>
      <c r="X112" s="70" t="s">
        <v>768</v>
      </c>
      <c r="Y112" s="64" t="s">
        <v>793</v>
      </c>
      <c r="Z112" s="64"/>
      <c r="AA112" s="64"/>
      <c r="AB112" s="64"/>
      <c r="AC112" s="64"/>
      <c r="AD112" s="71"/>
      <c r="AE112" s="72"/>
      <c r="AF112" s="72"/>
      <c r="AG112" s="72"/>
      <c r="AH112" s="72"/>
      <c r="AI112" s="72"/>
      <c r="AJ112" s="72"/>
      <c r="AK112" s="72"/>
    </row>
    <row r="113" spans="4:37" ht="14.25" customHeight="1">
      <c r="D113" s="64"/>
      <c r="E113" s="64"/>
      <c r="F113" s="64"/>
      <c r="G113" s="65" t="s">
        <v>835</v>
      </c>
      <c r="H113" s="64"/>
      <c r="I113" s="64" t="s">
        <v>99</v>
      </c>
      <c r="J113" s="64" t="s">
        <v>250</v>
      </c>
      <c r="K113" s="64" t="s">
        <v>825</v>
      </c>
      <c r="L113" s="64"/>
      <c r="M113" s="64"/>
      <c r="N113" s="64"/>
      <c r="O113" s="64">
        <v>2</v>
      </c>
      <c r="P113" s="64" t="s">
        <v>858</v>
      </c>
      <c r="Q113" s="64">
        <v>96</v>
      </c>
      <c r="R113" s="64" t="s">
        <v>854</v>
      </c>
      <c r="S113" s="64" t="s">
        <v>857</v>
      </c>
      <c r="T113" s="64"/>
      <c r="U113" s="64">
        <v>0.26300000000000001</v>
      </c>
      <c r="V113" s="64">
        <v>6.5</v>
      </c>
      <c r="W113" s="64" t="s">
        <v>859</v>
      </c>
      <c r="X113" s="64"/>
      <c r="Y113" s="64"/>
      <c r="Z113" s="64"/>
      <c r="AA113" s="64"/>
      <c r="AB113" s="64"/>
      <c r="AC113" s="64"/>
      <c r="AD113" s="71"/>
      <c r="AE113" s="72"/>
      <c r="AF113" s="72"/>
      <c r="AG113" s="72"/>
      <c r="AH113" s="72"/>
      <c r="AI113" s="72"/>
      <c r="AJ113" s="72"/>
      <c r="AK113" s="72"/>
    </row>
    <row r="114" spans="4:37" ht="14.25" customHeight="1"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71"/>
      <c r="AE114" s="72"/>
      <c r="AF114" s="72"/>
      <c r="AG114" s="72"/>
      <c r="AH114" s="72"/>
      <c r="AI114" s="72"/>
      <c r="AJ114" s="72"/>
      <c r="AK114" s="72"/>
    </row>
    <row r="115" spans="4:37" ht="14.25" customHeight="1">
      <c r="D115" s="64"/>
      <c r="E115" s="64"/>
      <c r="F115" s="64"/>
      <c r="G115" s="65"/>
      <c r="H115" s="66" t="s">
        <v>762</v>
      </c>
      <c r="I115" s="64" t="s">
        <v>99</v>
      </c>
      <c r="J115" s="64" t="s">
        <v>251</v>
      </c>
      <c r="K115" s="69" t="s">
        <v>333</v>
      </c>
      <c r="L115" s="67" t="s">
        <v>315</v>
      </c>
      <c r="M115" s="64" t="s">
        <v>784</v>
      </c>
      <c r="N115" s="69" t="s">
        <v>334</v>
      </c>
      <c r="O115" s="69" t="s">
        <v>786</v>
      </c>
      <c r="P115" s="69" t="s">
        <v>89</v>
      </c>
      <c r="Q115" s="69" t="s">
        <v>328</v>
      </c>
      <c r="R115" s="64" t="s">
        <v>778</v>
      </c>
      <c r="S115" s="68" t="s">
        <v>779</v>
      </c>
      <c r="T115" s="69" t="s">
        <v>90</v>
      </c>
      <c r="U115" s="69" t="s">
        <v>330</v>
      </c>
      <c r="V115" s="70" t="s">
        <v>768</v>
      </c>
      <c r="W115" s="64" t="s">
        <v>793</v>
      </c>
      <c r="X115" s="64"/>
      <c r="Y115" s="64"/>
      <c r="Z115" s="64"/>
      <c r="AA115" s="64"/>
      <c r="AB115" s="64"/>
      <c r="AC115" s="64"/>
      <c r="AD115" s="71"/>
      <c r="AE115" s="72"/>
      <c r="AF115" s="72"/>
      <c r="AG115" s="72"/>
      <c r="AH115" s="72"/>
      <c r="AI115" s="72"/>
      <c r="AJ115" s="72"/>
      <c r="AK115" s="72"/>
    </row>
    <row r="116" spans="4:37" ht="14.25" customHeight="1">
      <c r="D116" s="64"/>
      <c r="E116" s="64"/>
      <c r="F116" s="64"/>
      <c r="G116" s="65" t="s">
        <v>41</v>
      </c>
      <c r="H116" s="64"/>
      <c r="I116" s="64" t="s">
        <v>99</v>
      </c>
      <c r="J116" s="64" t="s">
        <v>251</v>
      </c>
      <c r="K116" s="64" t="s">
        <v>824</v>
      </c>
      <c r="L116" s="64" t="s">
        <v>823</v>
      </c>
      <c r="M116" s="64"/>
      <c r="N116" s="64" t="s">
        <v>853</v>
      </c>
      <c r="O116" s="64">
        <v>100</v>
      </c>
      <c r="P116" s="64" t="s">
        <v>854</v>
      </c>
      <c r="Q116" s="64" t="s">
        <v>857</v>
      </c>
      <c r="R116" s="64"/>
      <c r="S116" s="64">
        <v>0.13</v>
      </c>
      <c r="T116" s="64">
        <v>22</v>
      </c>
      <c r="U116" s="64" t="s">
        <v>859</v>
      </c>
      <c r="V116" s="64"/>
      <c r="W116" s="64"/>
      <c r="X116" s="64"/>
      <c r="Y116" s="64"/>
      <c r="Z116" s="64"/>
      <c r="AA116" s="64"/>
      <c r="AB116" s="64"/>
      <c r="AC116" s="64"/>
      <c r="AD116" s="71"/>
      <c r="AE116" s="72"/>
      <c r="AF116" s="72"/>
      <c r="AG116" s="72"/>
      <c r="AH116" s="72"/>
      <c r="AI116" s="72"/>
      <c r="AJ116" s="72"/>
      <c r="AK116" s="72"/>
    </row>
    <row r="117" spans="4:37" ht="14.25" customHeight="1"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71"/>
      <c r="AE117" s="72"/>
      <c r="AF117" s="72"/>
      <c r="AG117" s="72"/>
      <c r="AH117" s="72"/>
      <c r="AI117" s="72"/>
      <c r="AJ117" s="72"/>
      <c r="AK117" s="72"/>
    </row>
    <row r="118" spans="4:37" ht="14.25" customHeight="1">
      <c r="D118" s="64"/>
      <c r="E118" s="64"/>
      <c r="F118" s="64"/>
      <c r="G118" s="65"/>
      <c r="H118" s="66" t="s">
        <v>762</v>
      </c>
      <c r="I118" s="64" t="s">
        <v>99</v>
      </c>
      <c r="J118" s="64" t="s">
        <v>252</v>
      </c>
      <c r="K118" s="69" t="s">
        <v>333</v>
      </c>
      <c r="L118" s="67" t="s">
        <v>315</v>
      </c>
      <c r="M118" s="64" t="s">
        <v>784</v>
      </c>
      <c r="N118" s="69" t="s">
        <v>795</v>
      </c>
      <c r="O118" s="69" t="s">
        <v>786</v>
      </c>
      <c r="P118" s="69" t="s">
        <v>89</v>
      </c>
      <c r="Q118" s="69" t="s">
        <v>328</v>
      </c>
      <c r="R118" s="64" t="s">
        <v>778</v>
      </c>
      <c r="S118" s="68" t="s">
        <v>779</v>
      </c>
      <c r="T118" s="69" t="s">
        <v>90</v>
      </c>
      <c r="U118" s="69" t="s">
        <v>330</v>
      </c>
      <c r="V118" s="70" t="s">
        <v>768</v>
      </c>
      <c r="W118" s="64" t="s">
        <v>793</v>
      </c>
      <c r="X118" s="64"/>
      <c r="Y118" s="64"/>
      <c r="Z118" s="64"/>
      <c r="AA118" s="64"/>
      <c r="AB118" s="64"/>
      <c r="AC118" s="64"/>
      <c r="AD118" s="71"/>
      <c r="AE118" s="72"/>
      <c r="AF118" s="72"/>
      <c r="AG118" s="72"/>
      <c r="AH118" s="72"/>
      <c r="AI118" s="72"/>
      <c r="AJ118" s="72"/>
      <c r="AK118" s="72"/>
    </row>
    <row r="119" spans="4:37" ht="14.25" customHeight="1"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71"/>
      <c r="AE119" s="72"/>
      <c r="AF119" s="72"/>
      <c r="AG119" s="72"/>
      <c r="AH119" s="72"/>
      <c r="AI119" s="72"/>
      <c r="AJ119" s="72"/>
      <c r="AK119" s="72"/>
    </row>
    <row r="120" spans="4:37" ht="14.25" customHeight="1"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71"/>
      <c r="AE120" s="72"/>
      <c r="AF120" s="72"/>
      <c r="AG120" s="72"/>
      <c r="AH120" s="72"/>
      <c r="AI120" s="72"/>
      <c r="AJ120" s="72"/>
      <c r="AK120" s="72"/>
    </row>
    <row r="121" spans="4:37" ht="14.25" customHeight="1">
      <c r="D121" s="64"/>
      <c r="E121" s="64"/>
      <c r="F121" s="64"/>
      <c r="G121" s="65"/>
      <c r="H121" s="66" t="s">
        <v>762</v>
      </c>
      <c r="I121" s="64" t="s">
        <v>99</v>
      </c>
      <c r="J121" s="64" t="s">
        <v>253</v>
      </c>
      <c r="K121" s="69" t="s">
        <v>315</v>
      </c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71"/>
      <c r="AE121" s="72"/>
      <c r="AF121" s="72"/>
      <c r="AG121" s="72"/>
      <c r="AH121" s="72"/>
      <c r="AI121" s="72"/>
      <c r="AJ121" s="72"/>
      <c r="AK121" s="72"/>
    </row>
    <row r="122" spans="4:37" ht="14.25" customHeight="1"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71"/>
      <c r="AE122" s="72"/>
      <c r="AF122" s="72"/>
      <c r="AG122" s="72"/>
      <c r="AH122" s="72"/>
      <c r="AI122" s="72"/>
      <c r="AJ122" s="72"/>
      <c r="AK122" s="72"/>
    </row>
    <row r="123" spans="4:37" ht="14.25" customHeight="1"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71"/>
      <c r="AE123" s="72"/>
      <c r="AF123" s="72"/>
      <c r="AG123" s="72"/>
      <c r="AH123" s="72"/>
      <c r="AI123" s="72"/>
      <c r="AJ123" s="72"/>
      <c r="AK123" s="72"/>
    </row>
    <row r="124" spans="4:37" ht="14.25" customHeight="1">
      <c r="D124" s="64"/>
      <c r="E124" s="64"/>
      <c r="F124" s="64"/>
      <c r="G124" s="65"/>
      <c r="H124" s="66" t="s">
        <v>762</v>
      </c>
      <c r="I124" s="64" t="s">
        <v>99</v>
      </c>
      <c r="J124" s="64" t="s">
        <v>254</v>
      </c>
      <c r="K124" s="69" t="s">
        <v>317</v>
      </c>
      <c r="L124" s="64" t="s">
        <v>335</v>
      </c>
      <c r="M124" s="64" t="s">
        <v>796</v>
      </c>
      <c r="N124" s="64" t="s">
        <v>797</v>
      </c>
      <c r="O124" s="64" t="s">
        <v>798</v>
      </c>
      <c r="P124" s="64" t="s">
        <v>336</v>
      </c>
      <c r="Q124" s="69" t="s">
        <v>315</v>
      </c>
      <c r="R124" s="64" t="s">
        <v>784</v>
      </c>
      <c r="S124" s="69" t="s">
        <v>786</v>
      </c>
      <c r="T124" s="69" t="s">
        <v>89</v>
      </c>
      <c r="U124" s="64" t="s">
        <v>778</v>
      </c>
      <c r="V124" s="68" t="s">
        <v>779</v>
      </c>
      <c r="W124" s="69" t="s">
        <v>90</v>
      </c>
      <c r="X124" s="69" t="s">
        <v>330</v>
      </c>
      <c r="Y124" s="70" t="s">
        <v>768</v>
      </c>
      <c r="Z124" s="64" t="s">
        <v>793</v>
      </c>
      <c r="AA124" s="64"/>
      <c r="AB124" s="64"/>
      <c r="AC124" s="64"/>
      <c r="AD124" s="71"/>
      <c r="AE124" s="72"/>
      <c r="AF124" s="72"/>
      <c r="AG124" s="72"/>
      <c r="AH124" s="72"/>
      <c r="AI124" s="72"/>
      <c r="AJ124" s="72"/>
      <c r="AK124" s="72"/>
    </row>
    <row r="125" spans="4:37" ht="14.25" customHeight="1"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71"/>
      <c r="AE125" s="72"/>
      <c r="AF125" s="72"/>
      <c r="AG125" s="72"/>
      <c r="AH125" s="72"/>
      <c r="AI125" s="72"/>
      <c r="AJ125" s="72"/>
      <c r="AK125" s="72"/>
    </row>
    <row r="126" spans="4:37" ht="14.25" customHeight="1"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71"/>
      <c r="AE126" s="72"/>
      <c r="AF126" s="72"/>
      <c r="AG126" s="72"/>
      <c r="AH126" s="72"/>
      <c r="AI126" s="72"/>
      <c r="AJ126" s="72"/>
      <c r="AK126" s="72"/>
    </row>
    <row r="127" spans="4:37" ht="14.25" customHeight="1">
      <c r="D127" s="64"/>
      <c r="E127" s="64"/>
      <c r="F127" s="64"/>
      <c r="G127" s="65"/>
      <c r="H127" s="66" t="s">
        <v>762</v>
      </c>
      <c r="I127" s="64" t="s">
        <v>147</v>
      </c>
      <c r="J127" s="64" t="s">
        <v>255</v>
      </c>
      <c r="K127" s="69" t="s">
        <v>317</v>
      </c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5"/>
      <c r="AE127" s="64"/>
      <c r="AF127" s="64"/>
      <c r="AG127" s="64"/>
      <c r="AH127" s="64"/>
      <c r="AI127" s="64"/>
      <c r="AJ127" s="64"/>
      <c r="AK127" s="64"/>
    </row>
    <row r="128" spans="4:37" ht="14.25" customHeight="1"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5"/>
      <c r="AE128" s="64"/>
      <c r="AF128" s="64"/>
      <c r="AG128" s="64"/>
      <c r="AH128" s="64"/>
      <c r="AI128" s="64"/>
      <c r="AJ128" s="64"/>
      <c r="AK128" s="64"/>
    </row>
    <row r="129" spans="4:37" ht="14.25" customHeight="1"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71"/>
      <c r="AE129" s="72"/>
      <c r="AF129" s="72"/>
      <c r="AG129" s="72"/>
      <c r="AH129" s="72"/>
      <c r="AI129" s="72"/>
      <c r="AJ129" s="72"/>
      <c r="AK129" s="72"/>
    </row>
    <row r="130" spans="4:37" ht="14.25" customHeight="1">
      <c r="D130" s="64"/>
      <c r="E130" s="64"/>
      <c r="F130" s="64"/>
      <c r="G130" s="65"/>
      <c r="H130" s="66" t="s">
        <v>762</v>
      </c>
      <c r="I130" s="64" t="s">
        <v>147</v>
      </c>
      <c r="J130" s="64" t="s">
        <v>256</v>
      </c>
      <c r="K130" s="69" t="s">
        <v>315</v>
      </c>
      <c r="L130" s="64" t="s">
        <v>337</v>
      </c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5"/>
      <c r="AE130" s="64"/>
      <c r="AF130" s="64"/>
      <c r="AG130" s="64"/>
      <c r="AH130" s="64"/>
      <c r="AI130" s="64"/>
      <c r="AJ130" s="64"/>
      <c r="AK130" s="64"/>
    </row>
    <row r="131" spans="4:37" ht="14.25" customHeight="1"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5"/>
      <c r="AE131" s="64"/>
      <c r="AF131" s="64"/>
      <c r="AG131" s="64"/>
      <c r="AH131" s="64"/>
      <c r="AI131" s="64"/>
      <c r="AJ131" s="64"/>
      <c r="AK131" s="64"/>
    </row>
    <row r="132" spans="4:37" ht="14.25" customHeight="1"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71"/>
      <c r="AE132" s="72"/>
      <c r="AF132" s="72"/>
      <c r="AG132" s="72"/>
      <c r="AH132" s="72"/>
      <c r="AI132" s="72"/>
      <c r="AJ132" s="72"/>
      <c r="AK132" s="72"/>
    </row>
    <row r="133" spans="4:37" ht="14.25" customHeight="1">
      <c r="D133" s="64"/>
      <c r="E133" s="64"/>
      <c r="F133" s="64"/>
      <c r="G133" s="65"/>
      <c r="H133" s="66" t="s">
        <v>762</v>
      </c>
      <c r="I133" s="64" t="s">
        <v>147</v>
      </c>
      <c r="J133" s="64" t="s">
        <v>257</v>
      </c>
      <c r="K133" s="69" t="s">
        <v>332</v>
      </c>
      <c r="L133" s="64" t="s">
        <v>338</v>
      </c>
      <c r="M133" s="69" t="s">
        <v>765</v>
      </c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71"/>
      <c r="AE133" s="72"/>
      <c r="AF133" s="72"/>
      <c r="AG133" s="72"/>
      <c r="AH133" s="72"/>
      <c r="AI133" s="72"/>
      <c r="AJ133" s="72"/>
      <c r="AK133" s="72"/>
    </row>
    <row r="134" spans="4:37" ht="14.25" customHeight="1"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71"/>
      <c r="AE134" s="72"/>
      <c r="AF134" s="72"/>
      <c r="AG134" s="72"/>
      <c r="AH134" s="72"/>
      <c r="AI134" s="72"/>
      <c r="AJ134" s="72"/>
      <c r="AK134" s="72"/>
    </row>
    <row r="135" spans="4:37" ht="14.25" customHeight="1"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71"/>
      <c r="AE135" s="72"/>
      <c r="AF135" s="72"/>
      <c r="AG135" s="72"/>
      <c r="AH135" s="72"/>
      <c r="AI135" s="72"/>
      <c r="AJ135" s="72"/>
      <c r="AK135" s="72"/>
    </row>
    <row r="136" spans="4:37" ht="14.25" customHeight="1">
      <c r="D136" s="64"/>
      <c r="E136" s="64"/>
      <c r="F136" s="64"/>
      <c r="G136" s="65"/>
      <c r="H136" s="66" t="s">
        <v>762</v>
      </c>
      <c r="I136" s="64" t="s">
        <v>147</v>
      </c>
      <c r="J136" s="64" t="s">
        <v>259</v>
      </c>
      <c r="K136" s="69" t="s">
        <v>317</v>
      </c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71"/>
      <c r="AE136" s="72"/>
      <c r="AF136" s="72"/>
      <c r="AG136" s="72"/>
      <c r="AH136" s="72"/>
      <c r="AI136" s="72"/>
      <c r="AJ136" s="72"/>
      <c r="AK136" s="72"/>
    </row>
    <row r="137" spans="4:37" ht="14.25" customHeight="1"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71"/>
      <c r="AE137" s="72"/>
      <c r="AF137" s="72"/>
      <c r="AG137" s="72"/>
      <c r="AH137" s="72"/>
      <c r="AI137" s="72"/>
      <c r="AJ137" s="72"/>
      <c r="AK137" s="72"/>
    </row>
    <row r="138" spans="4:37" ht="14.25" customHeight="1"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71"/>
      <c r="AE138" s="72"/>
      <c r="AF138" s="72"/>
      <c r="AG138" s="72"/>
      <c r="AH138" s="72"/>
      <c r="AI138" s="72"/>
      <c r="AJ138" s="72"/>
      <c r="AK138" s="72"/>
    </row>
    <row r="139" spans="4:37" ht="14.25" customHeight="1">
      <c r="D139" s="64"/>
      <c r="E139" s="64"/>
      <c r="F139" s="64"/>
      <c r="G139" s="65"/>
      <c r="H139" s="66" t="s">
        <v>762</v>
      </c>
      <c r="I139" s="64" t="s">
        <v>147</v>
      </c>
      <c r="J139" s="64" t="s">
        <v>260</v>
      </c>
      <c r="K139" s="69" t="s">
        <v>315</v>
      </c>
      <c r="L139" s="69" t="s">
        <v>332</v>
      </c>
      <c r="M139" s="69" t="s">
        <v>341</v>
      </c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71"/>
      <c r="AE139" s="72"/>
      <c r="AF139" s="72"/>
      <c r="AG139" s="72"/>
      <c r="AH139" s="72"/>
      <c r="AI139" s="72"/>
      <c r="AJ139" s="72"/>
      <c r="AK139" s="72"/>
    </row>
    <row r="140" spans="4:37" ht="14.25" customHeight="1"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71"/>
      <c r="AE140" s="72"/>
      <c r="AF140" s="72"/>
      <c r="AG140" s="72"/>
      <c r="AH140" s="72"/>
      <c r="AI140" s="72"/>
      <c r="AJ140" s="72"/>
      <c r="AK140" s="72"/>
    </row>
    <row r="141" spans="4:37" ht="14.25" customHeight="1"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71"/>
      <c r="AE141" s="72"/>
      <c r="AF141" s="72"/>
      <c r="AG141" s="72"/>
      <c r="AH141" s="72"/>
      <c r="AI141" s="72"/>
      <c r="AJ141" s="72"/>
      <c r="AK141" s="72"/>
    </row>
    <row r="142" spans="4:37" ht="14.25" customHeight="1">
      <c r="D142" s="64"/>
      <c r="E142" s="64"/>
      <c r="F142" s="64"/>
      <c r="G142" s="65"/>
      <c r="H142" s="66" t="s">
        <v>762</v>
      </c>
      <c r="I142" s="64" t="s">
        <v>147</v>
      </c>
      <c r="J142" s="64" t="s">
        <v>261</v>
      </c>
      <c r="K142" s="69" t="s">
        <v>317</v>
      </c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71"/>
      <c r="AE142" s="72"/>
      <c r="AF142" s="72"/>
      <c r="AG142" s="72"/>
      <c r="AH142" s="72"/>
      <c r="AI142" s="72"/>
      <c r="AJ142" s="72"/>
      <c r="AK142" s="72"/>
    </row>
    <row r="143" spans="4:37" ht="14.25" customHeight="1"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71"/>
      <c r="AE143" s="72"/>
      <c r="AF143" s="72"/>
      <c r="AG143" s="72"/>
      <c r="AH143" s="72"/>
      <c r="AI143" s="72"/>
      <c r="AJ143" s="72"/>
      <c r="AK143" s="72"/>
    </row>
    <row r="144" spans="4:37" ht="14.25" customHeight="1"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71"/>
      <c r="AE144" s="72"/>
      <c r="AF144" s="72"/>
      <c r="AG144" s="72"/>
      <c r="AH144" s="72"/>
      <c r="AI144" s="72"/>
      <c r="AJ144" s="72"/>
      <c r="AK144" s="72"/>
    </row>
    <row r="145" spans="4:37" ht="14.25" customHeight="1">
      <c r="D145" s="64"/>
      <c r="E145" s="64"/>
      <c r="F145" s="64"/>
      <c r="G145" s="65"/>
      <c r="H145" s="66" t="s">
        <v>762</v>
      </c>
      <c r="I145" s="64" t="s">
        <v>147</v>
      </c>
      <c r="J145" s="64" t="s">
        <v>262</v>
      </c>
      <c r="K145" s="67" t="s">
        <v>315</v>
      </c>
      <c r="L145" s="69" t="s">
        <v>799</v>
      </c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71"/>
      <c r="AE145" s="72"/>
      <c r="AF145" s="72"/>
      <c r="AG145" s="72"/>
      <c r="AH145" s="72"/>
      <c r="AI145" s="72"/>
      <c r="AJ145" s="72"/>
      <c r="AK145" s="72"/>
    </row>
    <row r="146" spans="4:37" ht="14.25" customHeight="1">
      <c r="D146" s="64"/>
      <c r="E146" s="64"/>
      <c r="F146" s="64"/>
      <c r="G146" s="65" t="s">
        <v>837</v>
      </c>
      <c r="H146" s="64"/>
      <c r="I146" s="64" t="s">
        <v>147</v>
      </c>
      <c r="J146" s="64" t="s">
        <v>262</v>
      </c>
      <c r="K146" s="64" t="s">
        <v>821</v>
      </c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71"/>
      <c r="AE146" s="72"/>
      <c r="AF146" s="72"/>
      <c r="AG146" s="72"/>
      <c r="AH146" s="72"/>
      <c r="AI146" s="72"/>
      <c r="AJ146" s="72"/>
      <c r="AK146" s="72"/>
    </row>
    <row r="147" spans="4:37" ht="14.25" customHeight="1"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71"/>
      <c r="AE147" s="72"/>
      <c r="AF147" s="72"/>
      <c r="AG147" s="72"/>
      <c r="AH147" s="72"/>
      <c r="AI147" s="72"/>
      <c r="AJ147" s="72"/>
      <c r="AK147" s="72"/>
    </row>
    <row r="148" spans="4:37" ht="14.25" customHeight="1">
      <c r="D148" s="64"/>
      <c r="E148" s="64"/>
      <c r="F148" s="64"/>
      <c r="G148" s="65"/>
      <c r="H148" s="66" t="s">
        <v>762</v>
      </c>
      <c r="I148" s="64" t="s">
        <v>147</v>
      </c>
      <c r="J148" s="64" t="s">
        <v>264</v>
      </c>
      <c r="K148" s="69" t="s">
        <v>317</v>
      </c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71"/>
      <c r="AE148" s="72"/>
      <c r="AF148" s="72"/>
      <c r="AG148" s="72"/>
      <c r="AH148" s="72"/>
      <c r="AI148" s="72"/>
      <c r="AJ148" s="72"/>
      <c r="AK148" s="72"/>
    </row>
    <row r="149" spans="4:37" ht="14.25" customHeight="1"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71"/>
      <c r="AE149" s="72"/>
      <c r="AF149" s="72"/>
      <c r="AG149" s="72"/>
      <c r="AH149" s="72"/>
      <c r="AI149" s="72"/>
      <c r="AJ149" s="72"/>
      <c r="AK149" s="72"/>
    </row>
    <row r="150" spans="4:37" ht="14.25" customHeight="1"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71"/>
      <c r="AE150" s="72"/>
      <c r="AF150" s="72"/>
      <c r="AG150" s="72"/>
      <c r="AH150" s="72"/>
      <c r="AI150" s="72"/>
      <c r="AJ150" s="72"/>
      <c r="AK150" s="72"/>
    </row>
    <row r="151" spans="4:37" ht="14.25" customHeight="1">
      <c r="D151" s="64"/>
      <c r="E151" s="64"/>
      <c r="F151" s="64"/>
      <c r="G151" s="65"/>
      <c r="H151" s="66" t="s">
        <v>762</v>
      </c>
      <c r="I151" s="64" t="s">
        <v>145</v>
      </c>
      <c r="J151" s="64" t="s">
        <v>265</v>
      </c>
      <c r="K151" s="69" t="s">
        <v>315</v>
      </c>
      <c r="L151" s="69" t="s">
        <v>317</v>
      </c>
      <c r="M151" s="64" t="s">
        <v>778</v>
      </c>
      <c r="N151" s="68" t="s">
        <v>779</v>
      </c>
      <c r="O151" s="69" t="s">
        <v>90</v>
      </c>
      <c r="P151" s="69" t="s">
        <v>330</v>
      </c>
      <c r="Q151" s="70" t="s">
        <v>768</v>
      </c>
      <c r="R151" s="64" t="s">
        <v>793</v>
      </c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71"/>
      <c r="AE151" s="72"/>
      <c r="AF151" s="72"/>
      <c r="AG151" s="72"/>
      <c r="AH151" s="72"/>
      <c r="AI151" s="72"/>
      <c r="AJ151" s="72"/>
      <c r="AK151" s="72"/>
    </row>
    <row r="152" spans="4:37" ht="14.25" customHeight="1">
      <c r="D152" s="64"/>
      <c r="E152" s="64"/>
      <c r="F152" s="64"/>
      <c r="G152" s="65" t="s">
        <v>838</v>
      </c>
      <c r="H152" s="64"/>
      <c r="I152" s="64" t="s">
        <v>145</v>
      </c>
      <c r="J152" s="64" t="s">
        <v>265</v>
      </c>
      <c r="K152" s="64" t="s">
        <v>826</v>
      </c>
      <c r="L152" s="64" t="s">
        <v>850</v>
      </c>
      <c r="M152" s="64"/>
      <c r="N152" s="64">
        <v>2.5200000000000001E-3</v>
      </c>
      <c r="O152" s="64">
        <v>20</v>
      </c>
      <c r="P152" s="64" t="s">
        <v>859</v>
      </c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71"/>
      <c r="AE152" s="72"/>
      <c r="AF152" s="72"/>
      <c r="AG152" s="72"/>
      <c r="AH152" s="72"/>
      <c r="AI152" s="72"/>
      <c r="AJ152" s="72"/>
      <c r="AK152" s="72"/>
    </row>
    <row r="153" spans="4:37" ht="14.25" customHeight="1"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71"/>
      <c r="AE153" s="72"/>
      <c r="AF153" s="72"/>
      <c r="AG153" s="72"/>
      <c r="AH153" s="72"/>
      <c r="AI153" s="72"/>
      <c r="AJ153" s="72"/>
      <c r="AK153" s="72"/>
    </row>
    <row r="154" spans="4:37" ht="14.25" customHeight="1">
      <c r="D154" s="64"/>
      <c r="E154" s="64"/>
      <c r="F154" s="64"/>
      <c r="G154" s="65"/>
      <c r="H154" s="66" t="s">
        <v>762</v>
      </c>
      <c r="I154" s="64" t="s">
        <v>145</v>
      </c>
      <c r="J154" s="64" t="s">
        <v>267</v>
      </c>
      <c r="K154" s="69" t="s">
        <v>332</v>
      </c>
      <c r="L154" s="69" t="s">
        <v>317</v>
      </c>
      <c r="M154" s="69" t="s">
        <v>342</v>
      </c>
      <c r="N154" s="70" t="s">
        <v>790</v>
      </c>
      <c r="O154" s="69" t="s">
        <v>800</v>
      </c>
      <c r="P154" s="68" t="s">
        <v>801</v>
      </c>
      <c r="Q154" s="69" t="s">
        <v>802</v>
      </c>
      <c r="R154" s="70" t="s">
        <v>803</v>
      </c>
      <c r="S154" s="64" t="s">
        <v>778</v>
      </c>
      <c r="T154" s="68" t="s">
        <v>779</v>
      </c>
      <c r="U154" s="69" t="s">
        <v>90</v>
      </c>
      <c r="V154" s="69" t="s">
        <v>330</v>
      </c>
      <c r="W154" s="70" t="s">
        <v>768</v>
      </c>
      <c r="X154" s="64" t="s">
        <v>793</v>
      </c>
      <c r="Y154" s="64"/>
      <c r="Z154" s="64"/>
      <c r="AA154" s="64"/>
      <c r="AB154" s="64"/>
      <c r="AC154" s="64"/>
      <c r="AD154" s="71"/>
      <c r="AE154" s="72"/>
      <c r="AF154" s="72"/>
      <c r="AG154" s="72"/>
      <c r="AH154" s="72"/>
      <c r="AI154" s="72"/>
      <c r="AJ154" s="72"/>
      <c r="AK154" s="72"/>
    </row>
    <row r="155" spans="4:37" ht="14.25" customHeight="1"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71"/>
      <c r="AE155" s="72"/>
      <c r="AF155" s="72"/>
      <c r="AG155" s="72"/>
      <c r="AH155" s="72"/>
      <c r="AI155" s="72"/>
      <c r="AJ155" s="72"/>
      <c r="AK155" s="72"/>
    </row>
    <row r="156" spans="4:37" ht="14.25" customHeight="1"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71"/>
      <c r="AE156" s="72"/>
      <c r="AF156" s="72"/>
      <c r="AG156" s="72"/>
      <c r="AH156" s="72"/>
      <c r="AI156" s="72"/>
      <c r="AJ156" s="72"/>
      <c r="AK156" s="72"/>
    </row>
    <row r="157" spans="4:37" ht="14.25" customHeight="1">
      <c r="D157" s="64"/>
      <c r="E157" s="64"/>
      <c r="F157" s="64"/>
      <c r="G157" s="65"/>
      <c r="H157" s="66" t="s">
        <v>762</v>
      </c>
      <c r="I157" s="64" t="s">
        <v>139</v>
      </c>
      <c r="J157" s="64" t="s">
        <v>268</v>
      </c>
      <c r="K157" s="69" t="s">
        <v>315</v>
      </c>
      <c r="L157" s="69" t="s">
        <v>342</v>
      </c>
      <c r="M157" s="69" t="s">
        <v>343</v>
      </c>
      <c r="N157" s="69" t="s">
        <v>344</v>
      </c>
      <c r="O157" s="69" t="s">
        <v>345</v>
      </c>
      <c r="P157" s="69" t="s">
        <v>804</v>
      </c>
      <c r="Q157" s="68" t="s">
        <v>805</v>
      </c>
      <c r="R157" s="69" t="s">
        <v>806</v>
      </c>
      <c r="S157" s="70" t="s">
        <v>807</v>
      </c>
      <c r="T157" s="64" t="s">
        <v>768</v>
      </c>
      <c r="U157" s="64" t="s">
        <v>769</v>
      </c>
      <c r="V157" s="64"/>
      <c r="W157" s="64"/>
      <c r="X157" s="64"/>
      <c r="Y157" s="64"/>
      <c r="Z157" s="64"/>
      <c r="AA157" s="64"/>
      <c r="AB157" s="64"/>
      <c r="AC157" s="64"/>
      <c r="AD157" s="71"/>
      <c r="AE157" s="72"/>
      <c r="AF157" s="72"/>
      <c r="AG157" s="72"/>
      <c r="AH157" s="72"/>
      <c r="AI157" s="72"/>
      <c r="AJ157" s="72"/>
      <c r="AK157" s="72"/>
    </row>
    <row r="158" spans="4:37" ht="14.25" customHeight="1"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71"/>
      <c r="AE158" s="72"/>
      <c r="AF158" s="72"/>
      <c r="AG158" s="72"/>
      <c r="AH158" s="72"/>
      <c r="AI158" s="72"/>
      <c r="AJ158" s="72"/>
      <c r="AK158" s="72"/>
    </row>
    <row r="159" spans="4:37" ht="14.25" customHeight="1"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71"/>
      <c r="AE159" s="72"/>
      <c r="AF159" s="72"/>
      <c r="AG159" s="72"/>
      <c r="AH159" s="72"/>
      <c r="AI159" s="72"/>
      <c r="AJ159" s="72"/>
      <c r="AK159" s="72"/>
    </row>
    <row r="160" spans="4:37" ht="14.25" customHeight="1">
      <c r="D160" s="64"/>
      <c r="E160" s="64"/>
      <c r="F160" s="64"/>
      <c r="G160" s="65"/>
      <c r="H160" s="66" t="s">
        <v>762</v>
      </c>
      <c r="I160" s="64" t="s">
        <v>139</v>
      </c>
      <c r="J160" s="64" t="s">
        <v>269</v>
      </c>
      <c r="K160" s="69" t="s">
        <v>315</v>
      </c>
      <c r="L160" s="69" t="s">
        <v>342</v>
      </c>
      <c r="M160" s="69" t="s">
        <v>343</v>
      </c>
      <c r="N160" s="69" t="s">
        <v>344</v>
      </c>
      <c r="O160" s="69" t="s">
        <v>345</v>
      </c>
      <c r="P160" s="69" t="s">
        <v>804</v>
      </c>
      <c r="Q160" s="68" t="s">
        <v>805</v>
      </c>
      <c r="R160" s="69" t="s">
        <v>806</v>
      </c>
      <c r="S160" s="70" t="s">
        <v>807</v>
      </c>
      <c r="T160" s="64" t="s">
        <v>768</v>
      </c>
      <c r="U160" s="64" t="s">
        <v>769</v>
      </c>
      <c r="V160" s="64"/>
      <c r="W160" s="64"/>
      <c r="X160" s="64"/>
      <c r="Y160" s="64"/>
      <c r="Z160" s="64"/>
      <c r="AA160" s="64"/>
      <c r="AB160" s="64"/>
      <c r="AC160" s="64"/>
      <c r="AD160" s="71"/>
      <c r="AE160" s="72"/>
      <c r="AF160" s="72"/>
      <c r="AG160" s="72"/>
      <c r="AH160" s="72"/>
      <c r="AI160" s="72"/>
      <c r="AJ160" s="72"/>
      <c r="AK160" s="72"/>
    </row>
    <row r="161" spans="4:37" ht="14.25" customHeight="1"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71"/>
      <c r="AE161" s="72"/>
      <c r="AF161" s="72"/>
      <c r="AG161" s="72"/>
      <c r="AH161" s="72"/>
      <c r="AI161" s="72"/>
      <c r="AJ161" s="72"/>
      <c r="AK161" s="72"/>
    </row>
    <row r="162" spans="4:37" ht="14.25" customHeight="1"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71"/>
      <c r="AE162" s="72"/>
      <c r="AF162" s="72"/>
      <c r="AG162" s="72"/>
      <c r="AH162" s="72"/>
      <c r="AI162" s="72"/>
      <c r="AJ162" s="72"/>
      <c r="AK162" s="72"/>
    </row>
    <row r="163" spans="4:37" ht="14.25" customHeight="1">
      <c r="D163" s="64"/>
      <c r="E163" s="64"/>
      <c r="F163" s="64"/>
      <c r="G163" s="65"/>
      <c r="H163" s="66" t="s">
        <v>762</v>
      </c>
      <c r="I163" s="64" t="s">
        <v>139</v>
      </c>
      <c r="J163" s="64" t="s">
        <v>270</v>
      </c>
      <c r="K163" s="69" t="s">
        <v>315</v>
      </c>
      <c r="L163" s="69" t="s">
        <v>343</v>
      </c>
      <c r="M163" s="69" t="s">
        <v>344</v>
      </c>
      <c r="N163" s="69" t="s">
        <v>345</v>
      </c>
      <c r="O163" s="69" t="s">
        <v>804</v>
      </c>
      <c r="P163" s="68" t="s">
        <v>805</v>
      </c>
      <c r="Q163" s="69" t="s">
        <v>806</v>
      </c>
      <c r="R163" s="70" t="s">
        <v>807</v>
      </c>
      <c r="S163" s="64" t="s">
        <v>768</v>
      </c>
      <c r="T163" s="64" t="s">
        <v>769</v>
      </c>
      <c r="U163" s="64"/>
      <c r="V163" s="64"/>
      <c r="W163" s="64"/>
      <c r="X163" s="64"/>
      <c r="Y163" s="64"/>
      <c r="Z163" s="64"/>
      <c r="AA163" s="64"/>
      <c r="AB163" s="64"/>
      <c r="AC163" s="64"/>
      <c r="AD163" s="71"/>
      <c r="AE163" s="72"/>
      <c r="AF163" s="72"/>
      <c r="AG163" s="72"/>
      <c r="AH163" s="72"/>
      <c r="AI163" s="72"/>
      <c r="AJ163" s="72"/>
      <c r="AK163" s="72"/>
    </row>
    <row r="164" spans="4:37" ht="14.25" customHeight="1"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71"/>
      <c r="AE164" s="72"/>
      <c r="AF164" s="72"/>
      <c r="AG164" s="72"/>
      <c r="AH164" s="72"/>
      <c r="AI164" s="72"/>
      <c r="AJ164" s="72"/>
      <c r="AK164" s="72"/>
    </row>
    <row r="165" spans="4:37" ht="14.25" customHeight="1"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71"/>
      <c r="AE165" s="72"/>
      <c r="AF165" s="72"/>
      <c r="AG165" s="72"/>
      <c r="AH165" s="72"/>
      <c r="AI165" s="72"/>
      <c r="AJ165" s="72"/>
      <c r="AK165" s="72"/>
    </row>
    <row r="166" spans="4:37" ht="14.25" customHeight="1">
      <c r="D166" s="64"/>
      <c r="E166" s="64"/>
      <c r="F166" s="64"/>
      <c r="G166" s="65"/>
      <c r="H166" s="66" t="s">
        <v>762</v>
      </c>
      <c r="I166" s="64" t="s">
        <v>139</v>
      </c>
      <c r="J166" s="64" t="s">
        <v>271</v>
      </c>
      <c r="K166" s="69" t="s">
        <v>315</v>
      </c>
      <c r="L166" s="69" t="s">
        <v>342</v>
      </c>
      <c r="M166" s="69" t="s">
        <v>343</v>
      </c>
      <c r="N166" s="69" t="s">
        <v>344</v>
      </c>
      <c r="O166" s="69" t="s">
        <v>345</v>
      </c>
      <c r="P166" s="69" t="s">
        <v>804</v>
      </c>
      <c r="Q166" s="68" t="s">
        <v>805</v>
      </c>
      <c r="R166" s="69" t="s">
        <v>806</v>
      </c>
      <c r="S166" s="70" t="s">
        <v>807</v>
      </c>
      <c r="T166" s="64" t="s">
        <v>768</v>
      </c>
      <c r="U166" s="64" t="s">
        <v>769</v>
      </c>
      <c r="V166" s="64"/>
      <c r="W166" s="64"/>
      <c r="X166" s="64"/>
      <c r="Y166" s="64"/>
      <c r="Z166" s="64"/>
      <c r="AA166" s="64"/>
      <c r="AB166" s="64"/>
      <c r="AC166" s="64"/>
      <c r="AD166" s="71"/>
      <c r="AE166" s="72"/>
      <c r="AF166" s="72"/>
      <c r="AG166" s="72"/>
      <c r="AH166" s="72"/>
      <c r="AI166" s="72"/>
      <c r="AJ166" s="72"/>
      <c r="AK166" s="72"/>
    </row>
    <row r="167" spans="4:37" ht="14.25" customHeight="1"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71"/>
      <c r="AE167" s="72"/>
      <c r="AF167" s="72"/>
      <c r="AG167" s="72"/>
      <c r="AH167" s="72"/>
      <c r="AI167" s="72"/>
      <c r="AJ167" s="72"/>
      <c r="AK167" s="72"/>
    </row>
    <row r="168" spans="4:37" ht="14.25" customHeight="1"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71"/>
      <c r="AE168" s="72"/>
      <c r="AF168" s="72"/>
      <c r="AG168" s="72"/>
      <c r="AH168" s="72"/>
      <c r="AI168" s="72"/>
      <c r="AJ168" s="72"/>
      <c r="AK168" s="72"/>
    </row>
    <row r="169" spans="4:37" ht="14.25" customHeight="1">
      <c r="D169" s="64"/>
      <c r="E169" s="64"/>
      <c r="F169" s="64"/>
      <c r="G169" s="65"/>
      <c r="H169" s="66" t="s">
        <v>762</v>
      </c>
      <c r="I169" s="64" t="s">
        <v>139</v>
      </c>
      <c r="J169" s="64" t="s">
        <v>272</v>
      </c>
      <c r="K169" s="69" t="s">
        <v>315</v>
      </c>
      <c r="L169" s="69" t="s">
        <v>342</v>
      </c>
      <c r="M169" s="69" t="s">
        <v>343</v>
      </c>
      <c r="N169" s="69" t="s">
        <v>344</v>
      </c>
      <c r="O169" s="69" t="s">
        <v>345</v>
      </c>
      <c r="P169" s="69" t="s">
        <v>804</v>
      </c>
      <c r="Q169" s="68" t="s">
        <v>805</v>
      </c>
      <c r="R169" s="69" t="s">
        <v>806</v>
      </c>
      <c r="S169" s="70" t="s">
        <v>807</v>
      </c>
      <c r="T169" s="64" t="s">
        <v>768</v>
      </c>
      <c r="U169" s="64" t="s">
        <v>769</v>
      </c>
      <c r="V169" s="64"/>
      <c r="W169" s="64"/>
      <c r="X169" s="64"/>
      <c r="Y169" s="64"/>
      <c r="Z169" s="64"/>
      <c r="AA169" s="64"/>
      <c r="AB169" s="64"/>
      <c r="AC169" s="64"/>
      <c r="AD169" s="71"/>
      <c r="AE169" s="72"/>
      <c r="AF169" s="72"/>
      <c r="AG169" s="72"/>
      <c r="AH169" s="72"/>
      <c r="AI169" s="72"/>
      <c r="AJ169" s="72"/>
      <c r="AK169" s="72"/>
    </row>
    <row r="170" spans="4:37" ht="14.25" customHeight="1"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71"/>
      <c r="AE170" s="72"/>
      <c r="AF170" s="72"/>
      <c r="AG170" s="72"/>
      <c r="AH170" s="72"/>
      <c r="AI170" s="72"/>
      <c r="AJ170" s="72"/>
      <c r="AK170" s="72"/>
    </row>
    <row r="171" spans="4:37" ht="14.25" customHeight="1"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71"/>
      <c r="AE171" s="72"/>
      <c r="AF171" s="72"/>
      <c r="AG171" s="72"/>
      <c r="AH171" s="72"/>
      <c r="AI171" s="72"/>
      <c r="AJ171" s="72"/>
      <c r="AK171" s="72"/>
    </row>
    <row r="172" spans="4:37" ht="14.25" customHeight="1">
      <c r="D172" s="64"/>
      <c r="E172" s="64"/>
      <c r="F172" s="64"/>
      <c r="G172" s="65"/>
      <c r="H172" s="66" t="s">
        <v>762</v>
      </c>
      <c r="I172" s="64" t="s">
        <v>139</v>
      </c>
      <c r="J172" s="64" t="s">
        <v>273</v>
      </c>
      <c r="K172" s="69" t="s">
        <v>315</v>
      </c>
      <c r="L172" s="69" t="s">
        <v>342</v>
      </c>
      <c r="M172" s="69" t="s">
        <v>343</v>
      </c>
      <c r="N172" s="69" t="s">
        <v>344</v>
      </c>
      <c r="O172" s="69" t="s">
        <v>345</v>
      </c>
      <c r="P172" s="69" t="s">
        <v>804</v>
      </c>
      <c r="Q172" s="68" t="s">
        <v>805</v>
      </c>
      <c r="R172" s="69" t="s">
        <v>806</v>
      </c>
      <c r="S172" s="70" t="s">
        <v>807</v>
      </c>
      <c r="T172" s="64" t="s">
        <v>768</v>
      </c>
      <c r="U172" s="64" t="s">
        <v>769</v>
      </c>
      <c r="V172" s="64"/>
      <c r="W172" s="64"/>
      <c r="X172" s="64"/>
      <c r="Y172" s="64"/>
      <c r="Z172" s="64"/>
      <c r="AA172" s="64"/>
      <c r="AB172" s="64"/>
      <c r="AC172" s="64"/>
      <c r="AD172" s="71"/>
      <c r="AE172" s="72"/>
      <c r="AF172" s="72"/>
      <c r="AG172" s="72"/>
      <c r="AH172" s="72"/>
      <c r="AI172" s="72"/>
      <c r="AJ172" s="72"/>
      <c r="AK172" s="72"/>
    </row>
    <row r="173" spans="4:37" ht="14.25" customHeight="1"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71"/>
      <c r="AE173" s="72"/>
      <c r="AF173" s="72"/>
      <c r="AG173" s="72"/>
      <c r="AH173" s="72"/>
      <c r="AI173" s="72"/>
      <c r="AJ173" s="72"/>
      <c r="AK173" s="72"/>
    </row>
    <row r="174" spans="4:37" ht="14.25" customHeight="1"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71"/>
      <c r="AE174" s="72"/>
      <c r="AF174" s="72"/>
      <c r="AG174" s="72"/>
      <c r="AH174" s="72"/>
      <c r="AI174" s="72"/>
      <c r="AJ174" s="72"/>
      <c r="AK174" s="72"/>
    </row>
    <row r="175" spans="4:37" ht="14.25" customHeight="1">
      <c r="D175" s="64"/>
      <c r="E175" s="64"/>
      <c r="F175" s="64"/>
      <c r="G175" s="65"/>
      <c r="H175" s="66" t="s">
        <v>762</v>
      </c>
      <c r="I175" s="64" t="s">
        <v>139</v>
      </c>
      <c r="J175" s="64" t="s">
        <v>274</v>
      </c>
      <c r="K175" s="69" t="s">
        <v>315</v>
      </c>
      <c r="L175" s="69" t="s">
        <v>342</v>
      </c>
      <c r="M175" s="69" t="s">
        <v>343</v>
      </c>
      <c r="N175" s="69" t="s">
        <v>344</v>
      </c>
      <c r="O175" s="69" t="s">
        <v>345</v>
      </c>
      <c r="P175" s="69" t="s">
        <v>804</v>
      </c>
      <c r="Q175" s="68" t="s">
        <v>805</v>
      </c>
      <c r="R175" s="69" t="s">
        <v>806</v>
      </c>
      <c r="S175" s="70" t="s">
        <v>807</v>
      </c>
      <c r="T175" s="64" t="s">
        <v>768</v>
      </c>
      <c r="U175" s="64" t="s">
        <v>769</v>
      </c>
      <c r="V175" s="64"/>
      <c r="W175" s="64"/>
      <c r="X175" s="64"/>
      <c r="Y175" s="64"/>
      <c r="Z175" s="64"/>
      <c r="AA175" s="64"/>
      <c r="AB175" s="64"/>
      <c r="AC175" s="64"/>
      <c r="AD175" s="71"/>
      <c r="AE175" s="72"/>
      <c r="AF175" s="72"/>
      <c r="AG175" s="72"/>
      <c r="AH175" s="72"/>
      <c r="AI175" s="72"/>
      <c r="AJ175" s="72"/>
      <c r="AK175" s="72"/>
    </row>
    <row r="176" spans="4:37" ht="14.25" customHeight="1"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71"/>
      <c r="AE176" s="72"/>
      <c r="AF176" s="72"/>
      <c r="AG176" s="72"/>
      <c r="AH176" s="72"/>
      <c r="AI176" s="72"/>
      <c r="AJ176" s="72"/>
      <c r="AK176" s="72"/>
    </row>
    <row r="177" spans="4:37" ht="14.25" customHeight="1"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71"/>
      <c r="AE177" s="72"/>
      <c r="AF177" s="72"/>
      <c r="AG177" s="72"/>
      <c r="AH177" s="72"/>
      <c r="AI177" s="72"/>
      <c r="AJ177" s="72"/>
      <c r="AK177" s="72"/>
    </row>
    <row r="178" spans="4:37" ht="14.25" customHeight="1">
      <c r="D178" s="64"/>
      <c r="E178" s="64"/>
      <c r="F178" s="64"/>
      <c r="G178" s="65"/>
      <c r="H178" s="66" t="s">
        <v>762</v>
      </c>
      <c r="I178" s="64" t="s">
        <v>139</v>
      </c>
      <c r="J178" s="64" t="s">
        <v>275</v>
      </c>
      <c r="K178" s="69" t="s">
        <v>315</v>
      </c>
      <c r="L178" s="69" t="s">
        <v>342</v>
      </c>
      <c r="M178" s="69" t="s">
        <v>343</v>
      </c>
      <c r="N178" s="69" t="s">
        <v>344</v>
      </c>
      <c r="O178" s="69" t="s">
        <v>345</v>
      </c>
      <c r="P178" s="69" t="s">
        <v>804</v>
      </c>
      <c r="Q178" s="68" t="s">
        <v>805</v>
      </c>
      <c r="R178" s="69" t="s">
        <v>806</v>
      </c>
      <c r="S178" s="70" t="s">
        <v>807</v>
      </c>
      <c r="T178" s="64" t="s">
        <v>768</v>
      </c>
      <c r="U178" s="64" t="s">
        <v>769</v>
      </c>
      <c r="V178" s="64"/>
      <c r="W178" s="64"/>
      <c r="X178" s="64"/>
      <c r="Y178" s="64"/>
      <c r="Z178" s="64"/>
      <c r="AA178" s="64"/>
      <c r="AB178" s="64"/>
      <c r="AC178" s="64"/>
      <c r="AD178" s="71"/>
      <c r="AE178" s="72"/>
      <c r="AF178" s="72"/>
      <c r="AG178" s="72"/>
      <c r="AH178" s="72"/>
      <c r="AI178" s="72"/>
      <c r="AJ178" s="72"/>
      <c r="AK178" s="72"/>
    </row>
    <row r="179" spans="4:37" ht="14.25" customHeight="1"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71"/>
      <c r="AE179" s="72"/>
      <c r="AF179" s="72"/>
      <c r="AG179" s="72"/>
      <c r="AH179" s="72"/>
      <c r="AI179" s="72"/>
      <c r="AJ179" s="72"/>
      <c r="AK179" s="72"/>
    </row>
    <row r="180" spans="4:37" ht="14.25" customHeight="1"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71"/>
      <c r="AE180" s="72"/>
      <c r="AF180" s="72"/>
      <c r="AG180" s="72"/>
      <c r="AH180" s="72"/>
      <c r="AI180" s="72"/>
      <c r="AJ180" s="72"/>
      <c r="AK180" s="72"/>
    </row>
    <row r="181" spans="4:37" ht="14.25" customHeight="1">
      <c r="D181" s="64"/>
      <c r="E181" s="64"/>
      <c r="F181" s="64"/>
      <c r="G181" s="65"/>
      <c r="H181" s="66" t="s">
        <v>762</v>
      </c>
      <c r="I181" s="64" t="s">
        <v>139</v>
      </c>
      <c r="J181" s="64" t="s">
        <v>276</v>
      </c>
      <c r="K181" s="69" t="s">
        <v>315</v>
      </c>
      <c r="L181" s="69" t="s">
        <v>342</v>
      </c>
      <c r="M181" s="69" t="s">
        <v>343</v>
      </c>
      <c r="N181" s="69" t="s">
        <v>344</v>
      </c>
      <c r="O181" s="69" t="s">
        <v>345</v>
      </c>
      <c r="P181" s="69" t="s">
        <v>804</v>
      </c>
      <c r="Q181" s="68" t="s">
        <v>805</v>
      </c>
      <c r="R181" s="69" t="s">
        <v>806</v>
      </c>
      <c r="S181" s="70" t="s">
        <v>807</v>
      </c>
      <c r="T181" s="64" t="s">
        <v>768</v>
      </c>
      <c r="U181" s="64" t="s">
        <v>769</v>
      </c>
      <c r="V181" s="64"/>
      <c r="W181" s="64"/>
      <c r="X181" s="64"/>
      <c r="Y181" s="64"/>
      <c r="Z181" s="64"/>
      <c r="AA181" s="64"/>
      <c r="AB181" s="64"/>
      <c r="AC181" s="64"/>
      <c r="AD181" s="71"/>
      <c r="AE181" s="72"/>
      <c r="AF181" s="72"/>
      <c r="AG181" s="72"/>
      <c r="AH181" s="72"/>
      <c r="AI181" s="72"/>
      <c r="AJ181" s="72"/>
      <c r="AK181" s="72"/>
    </row>
    <row r="182" spans="4:37" ht="14.25" customHeight="1"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71"/>
      <c r="AE182" s="72"/>
      <c r="AF182" s="72"/>
      <c r="AG182" s="72"/>
      <c r="AH182" s="72"/>
      <c r="AI182" s="72"/>
      <c r="AJ182" s="72"/>
      <c r="AK182" s="72"/>
    </row>
    <row r="183" spans="4:37" ht="14.25" customHeight="1"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71"/>
      <c r="AE183" s="72"/>
      <c r="AF183" s="72"/>
      <c r="AG183" s="72"/>
      <c r="AH183" s="72"/>
      <c r="AI183" s="72"/>
      <c r="AJ183" s="72"/>
      <c r="AK183" s="72"/>
    </row>
    <row r="184" spans="4:37" ht="14.25" customHeight="1">
      <c r="D184" s="64"/>
      <c r="E184" s="64"/>
      <c r="F184" s="64"/>
      <c r="G184" s="65"/>
      <c r="H184" s="66" t="s">
        <v>762</v>
      </c>
      <c r="I184" s="64" t="s">
        <v>139</v>
      </c>
      <c r="J184" s="64" t="s">
        <v>277</v>
      </c>
      <c r="K184" s="69" t="s">
        <v>315</v>
      </c>
      <c r="L184" s="69" t="s">
        <v>342</v>
      </c>
      <c r="M184" s="69" t="s">
        <v>343</v>
      </c>
      <c r="N184" s="69" t="s">
        <v>344</v>
      </c>
      <c r="O184" s="69" t="s">
        <v>345</v>
      </c>
      <c r="P184" s="69" t="s">
        <v>804</v>
      </c>
      <c r="Q184" s="68" t="s">
        <v>805</v>
      </c>
      <c r="R184" s="69" t="s">
        <v>806</v>
      </c>
      <c r="S184" s="70" t="s">
        <v>807</v>
      </c>
      <c r="T184" s="64" t="s">
        <v>768</v>
      </c>
      <c r="U184" s="64" t="s">
        <v>769</v>
      </c>
      <c r="V184" s="64"/>
      <c r="W184" s="64"/>
      <c r="X184" s="64"/>
      <c r="Y184" s="64"/>
      <c r="Z184" s="64"/>
      <c r="AA184" s="64"/>
      <c r="AB184" s="64"/>
      <c r="AC184" s="64"/>
      <c r="AD184" s="71"/>
      <c r="AE184" s="72"/>
      <c r="AF184" s="72"/>
      <c r="AG184" s="72"/>
      <c r="AH184" s="72"/>
      <c r="AI184" s="72"/>
      <c r="AJ184" s="72"/>
      <c r="AK184" s="72"/>
    </row>
    <row r="185" spans="4:37" ht="14.25" customHeight="1"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71"/>
      <c r="AE185" s="72"/>
      <c r="AF185" s="72"/>
      <c r="AG185" s="72"/>
      <c r="AH185" s="72"/>
      <c r="AI185" s="72"/>
      <c r="AJ185" s="72"/>
      <c r="AK185" s="72"/>
    </row>
    <row r="186" spans="4:37" ht="14.25" customHeight="1"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71"/>
      <c r="AE186" s="72"/>
      <c r="AF186" s="72"/>
      <c r="AG186" s="72"/>
      <c r="AH186" s="72"/>
      <c r="AI186" s="72"/>
      <c r="AJ186" s="72"/>
      <c r="AK186" s="72"/>
    </row>
    <row r="187" spans="4:37" ht="14.25" customHeight="1">
      <c r="D187" s="64"/>
      <c r="E187" s="64"/>
      <c r="F187" s="64"/>
      <c r="G187" s="65"/>
      <c r="H187" s="66" t="s">
        <v>762</v>
      </c>
      <c r="I187" s="64" t="s">
        <v>139</v>
      </c>
      <c r="J187" s="64" t="s">
        <v>278</v>
      </c>
      <c r="K187" s="69" t="s">
        <v>315</v>
      </c>
      <c r="L187" s="69" t="s">
        <v>342</v>
      </c>
      <c r="M187" s="69" t="s">
        <v>343</v>
      </c>
      <c r="N187" s="69" t="s">
        <v>344</v>
      </c>
      <c r="O187" s="69" t="s">
        <v>345</v>
      </c>
      <c r="P187" s="69" t="s">
        <v>804</v>
      </c>
      <c r="Q187" s="68" t="s">
        <v>805</v>
      </c>
      <c r="R187" s="69" t="s">
        <v>806</v>
      </c>
      <c r="S187" s="70" t="s">
        <v>807</v>
      </c>
      <c r="T187" s="64" t="s">
        <v>768</v>
      </c>
      <c r="U187" s="64" t="s">
        <v>769</v>
      </c>
      <c r="V187" s="64"/>
      <c r="W187" s="64"/>
      <c r="X187" s="64"/>
      <c r="Y187" s="64"/>
      <c r="Z187" s="64"/>
      <c r="AA187" s="64"/>
      <c r="AB187" s="64"/>
      <c r="AC187" s="64"/>
      <c r="AD187" s="71"/>
      <c r="AE187" s="72"/>
      <c r="AF187" s="72"/>
      <c r="AG187" s="72"/>
      <c r="AH187" s="72"/>
      <c r="AI187" s="72"/>
      <c r="AJ187" s="72"/>
      <c r="AK187" s="72"/>
    </row>
    <row r="188" spans="4:37" ht="14.25" customHeight="1"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71"/>
      <c r="AE188" s="72"/>
      <c r="AF188" s="72"/>
      <c r="AG188" s="72"/>
      <c r="AH188" s="72"/>
      <c r="AI188" s="72"/>
      <c r="AJ188" s="72"/>
      <c r="AK188" s="72"/>
    </row>
    <row r="189" spans="4:37" ht="14.25" customHeight="1"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71"/>
      <c r="AE189" s="72"/>
      <c r="AF189" s="72"/>
      <c r="AG189" s="72"/>
      <c r="AH189" s="72"/>
      <c r="AI189" s="72"/>
      <c r="AJ189" s="72"/>
      <c r="AK189" s="72"/>
    </row>
    <row r="190" spans="4:37" ht="14.25" customHeight="1">
      <c r="D190" s="64"/>
      <c r="E190" s="64"/>
      <c r="F190" s="64"/>
      <c r="G190" s="65"/>
      <c r="H190" s="66" t="s">
        <v>762</v>
      </c>
      <c r="I190" s="64" t="s">
        <v>139</v>
      </c>
      <c r="J190" s="64" t="s">
        <v>279</v>
      </c>
      <c r="K190" s="69" t="s">
        <v>315</v>
      </c>
      <c r="L190" s="69" t="s">
        <v>317</v>
      </c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71"/>
      <c r="AE190" s="72"/>
      <c r="AF190" s="72"/>
      <c r="AG190" s="72"/>
      <c r="AH190" s="72"/>
      <c r="AI190" s="72"/>
      <c r="AJ190" s="72"/>
      <c r="AK190" s="72"/>
    </row>
    <row r="191" spans="4:37" ht="14.25" customHeight="1"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71"/>
      <c r="AE191" s="72"/>
      <c r="AF191" s="72"/>
      <c r="AG191" s="72"/>
      <c r="AH191" s="72"/>
      <c r="AI191" s="72"/>
      <c r="AJ191" s="72"/>
      <c r="AK191" s="72"/>
    </row>
    <row r="192" spans="4:37" ht="14.25" customHeight="1"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71"/>
      <c r="AE192" s="72"/>
      <c r="AF192" s="72"/>
      <c r="AG192" s="72"/>
      <c r="AH192" s="72"/>
      <c r="AI192" s="72"/>
      <c r="AJ192" s="72"/>
      <c r="AK192" s="72"/>
    </row>
    <row r="193" spans="4:37" ht="14.25" customHeight="1">
      <c r="D193" s="64"/>
      <c r="E193" s="64"/>
      <c r="F193" s="64"/>
      <c r="G193" s="65"/>
      <c r="H193" s="66" t="s">
        <v>762</v>
      </c>
      <c r="I193" s="64" t="s">
        <v>139</v>
      </c>
      <c r="J193" s="64" t="s">
        <v>280</v>
      </c>
      <c r="K193" s="69" t="s">
        <v>315</v>
      </c>
      <c r="L193" s="69" t="s">
        <v>343</v>
      </c>
      <c r="M193" s="69" t="s">
        <v>344</v>
      </c>
      <c r="N193" s="69" t="s">
        <v>345</v>
      </c>
      <c r="O193" s="69" t="s">
        <v>804</v>
      </c>
      <c r="P193" s="68" t="s">
        <v>805</v>
      </c>
      <c r="Q193" s="69" t="s">
        <v>806</v>
      </c>
      <c r="R193" s="70" t="s">
        <v>807</v>
      </c>
      <c r="S193" s="64" t="s">
        <v>768</v>
      </c>
      <c r="T193" s="64" t="s">
        <v>769</v>
      </c>
      <c r="U193" s="64"/>
      <c r="V193" s="64"/>
      <c r="W193" s="64"/>
      <c r="X193" s="64"/>
      <c r="Y193" s="64"/>
      <c r="Z193" s="64"/>
      <c r="AA193" s="64"/>
      <c r="AB193" s="64"/>
      <c r="AC193" s="64"/>
      <c r="AD193" s="71"/>
      <c r="AE193" s="72"/>
      <c r="AF193" s="72"/>
      <c r="AG193" s="72"/>
      <c r="AH193" s="72"/>
      <c r="AI193" s="72"/>
      <c r="AJ193" s="72"/>
      <c r="AK193" s="72"/>
    </row>
    <row r="194" spans="4:37" ht="14.25" customHeight="1"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71"/>
      <c r="AE194" s="72"/>
      <c r="AF194" s="72"/>
      <c r="AG194" s="72"/>
      <c r="AH194" s="72"/>
      <c r="AI194" s="72"/>
      <c r="AJ194" s="72"/>
      <c r="AK194" s="72"/>
    </row>
    <row r="195" spans="4:37" ht="14.25" customHeight="1"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71"/>
      <c r="AE195" s="72"/>
      <c r="AF195" s="72"/>
      <c r="AG195" s="72"/>
      <c r="AH195" s="72"/>
      <c r="AI195" s="72"/>
      <c r="AJ195" s="72"/>
      <c r="AK195" s="72"/>
    </row>
    <row r="196" spans="4:37" ht="14.25" customHeight="1">
      <c r="D196" s="64"/>
      <c r="E196" s="64"/>
      <c r="F196" s="64"/>
      <c r="G196" s="65"/>
      <c r="H196" s="66" t="s">
        <v>762</v>
      </c>
      <c r="I196" s="64" t="s">
        <v>124</v>
      </c>
      <c r="J196" s="64" t="s">
        <v>281</v>
      </c>
      <c r="K196" s="67" t="s">
        <v>315</v>
      </c>
      <c r="L196" s="68" t="s">
        <v>779</v>
      </c>
      <c r="M196" s="69" t="s">
        <v>808</v>
      </c>
      <c r="N196" s="70" t="s">
        <v>809</v>
      </c>
      <c r="O196" s="64" t="s">
        <v>768</v>
      </c>
      <c r="P196" s="64" t="s">
        <v>769</v>
      </c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71"/>
      <c r="AE196" s="72"/>
      <c r="AF196" s="72"/>
      <c r="AG196" s="72"/>
      <c r="AH196" s="72"/>
      <c r="AI196" s="72"/>
      <c r="AJ196" s="72"/>
      <c r="AK196" s="72"/>
    </row>
    <row r="197" spans="4:37" ht="14.25" customHeight="1"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71"/>
      <c r="AE197" s="72"/>
      <c r="AF197" s="72"/>
      <c r="AG197" s="72"/>
      <c r="AH197" s="72"/>
      <c r="AI197" s="72"/>
      <c r="AJ197" s="72"/>
      <c r="AK197" s="72"/>
    </row>
    <row r="198" spans="4:37" ht="14.25" customHeight="1"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71"/>
      <c r="AE198" s="72"/>
      <c r="AF198" s="72"/>
      <c r="AG198" s="72"/>
      <c r="AH198" s="72"/>
      <c r="AI198" s="72"/>
      <c r="AJ198" s="72"/>
      <c r="AK198" s="72"/>
    </row>
    <row r="199" spans="4:37" ht="14.25" customHeight="1">
      <c r="D199" s="64"/>
      <c r="E199" s="64"/>
      <c r="F199" s="64"/>
      <c r="G199" s="65"/>
      <c r="H199" s="66" t="s">
        <v>762</v>
      </c>
      <c r="I199" s="64" t="s">
        <v>124</v>
      </c>
      <c r="J199" s="64" t="s">
        <v>282</v>
      </c>
      <c r="K199" s="67" t="s">
        <v>315</v>
      </c>
      <c r="L199" s="68" t="s">
        <v>779</v>
      </c>
      <c r="M199" s="69" t="s">
        <v>808</v>
      </c>
      <c r="N199" s="70" t="s">
        <v>809</v>
      </c>
      <c r="O199" s="64" t="s">
        <v>768</v>
      </c>
      <c r="P199" s="64" t="s">
        <v>769</v>
      </c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71"/>
      <c r="AE199" s="72"/>
      <c r="AF199" s="72"/>
      <c r="AG199" s="72"/>
      <c r="AH199" s="72"/>
      <c r="AI199" s="72"/>
      <c r="AJ199" s="72"/>
      <c r="AK199" s="72"/>
    </row>
    <row r="200" spans="4:37" ht="14.25" customHeight="1"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71"/>
      <c r="AE200" s="72"/>
      <c r="AF200" s="72"/>
      <c r="AG200" s="72"/>
      <c r="AH200" s="72"/>
      <c r="AI200" s="72"/>
      <c r="AJ200" s="72"/>
      <c r="AK200" s="72"/>
    </row>
    <row r="201" spans="4:37" ht="14.25" customHeight="1"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71"/>
      <c r="AE201" s="72"/>
      <c r="AF201" s="72"/>
      <c r="AG201" s="72"/>
      <c r="AH201" s="72"/>
      <c r="AI201" s="72"/>
      <c r="AJ201" s="72"/>
      <c r="AK201" s="72"/>
    </row>
    <row r="202" spans="4:37" ht="14.25" customHeight="1">
      <c r="D202" s="64"/>
      <c r="E202" s="64"/>
      <c r="F202" s="64"/>
      <c r="G202" s="65"/>
      <c r="H202" s="66" t="s">
        <v>762</v>
      </c>
      <c r="I202" s="64" t="s">
        <v>124</v>
      </c>
      <c r="J202" s="64" t="s">
        <v>283</v>
      </c>
      <c r="K202" s="67" t="s">
        <v>315</v>
      </c>
      <c r="L202" s="68" t="s">
        <v>779</v>
      </c>
      <c r="M202" s="69" t="s">
        <v>808</v>
      </c>
      <c r="N202" s="70" t="s">
        <v>809</v>
      </c>
      <c r="O202" s="64" t="s">
        <v>768</v>
      </c>
      <c r="P202" s="64" t="s">
        <v>769</v>
      </c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71"/>
      <c r="AE202" s="72"/>
      <c r="AF202" s="72"/>
      <c r="AG202" s="72"/>
      <c r="AH202" s="72"/>
      <c r="AI202" s="72"/>
      <c r="AJ202" s="72"/>
      <c r="AK202" s="72"/>
    </row>
    <row r="203" spans="4:37" ht="14.25" customHeight="1"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71"/>
      <c r="AE203" s="72"/>
      <c r="AF203" s="72"/>
      <c r="AG203" s="72"/>
      <c r="AH203" s="72"/>
      <c r="AI203" s="72"/>
      <c r="AJ203" s="72"/>
      <c r="AK203" s="72"/>
    </row>
    <row r="204" spans="4:37" ht="14.25" customHeight="1"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71"/>
      <c r="AE204" s="72"/>
      <c r="AF204" s="72"/>
      <c r="AG204" s="72"/>
      <c r="AH204" s="72"/>
      <c r="AI204" s="72"/>
      <c r="AJ204" s="72"/>
      <c r="AK204" s="72"/>
    </row>
    <row r="205" spans="4:37" ht="14.25" customHeight="1">
      <c r="D205" s="64"/>
      <c r="E205" s="64"/>
      <c r="F205" s="64"/>
      <c r="G205" s="65"/>
      <c r="H205" s="66" t="s">
        <v>762</v>
      </c>
      <c r="I205" s="64" t="s">
        <v>124</v>
      </c>
      <c r="J205" s="64" t="s">
        <v>284</v>
      </c>
      <c r="K205" s="67" t="s">
        <v>315</v>
      </c>
      <c r="L205" s="68" t="s">
        <v>779</v>
      </c>
      <c r="M205" s="69" t="s">
        <v>808</v>
      </c>
      <c r="N205" s="70" t="s">
        <v>809</v>
      </c>
      <c r="O205" s="64" t="s">
        <v>768</v>
      </c>
      <c r="P205" s="64" t="s">
        <v>769</v>
      </c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71"/>
      <c r="AE205" s="72"/>
      <c r="AF205" s="72"/>
      <c r="AG205" s="72"/>
      <c r="AH205" s="72"/>
      <c r="AI205" s="72"/>
      <c r="AJ205" s="72"/>
      <c r="AK205" s="72"/>
    </row>
    <row r="206" spans="4:37" ht="14.25" customHeight="1"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71"/>
      <c r="AE206" s="72"/>
      <c r="AF206" s="72"/>
      <c r="AG206" s="72"/>
      <c r="AH206" s="72"/>
      <c r="AI206" s="72"/>
      <c r="AJ206" s="72"/>
      <c r="AK206" s="72"/>
    </row>
    <row r="207" spans="4:37" ht="14.25" customHeight="1"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71"/>
      <c r="AE207" s="72"/>
      <c r="AF207" s="72"/>
      <c r="AG207" s="72"/>
      <c r="AH207" s="72"/>
      <c r="AI207" s="72"/>
      <c r="AJ207" s="72"/>
      <c r="AK207" s="72"/>
    </row>
    <row r="208" spans="4:37" ht="14.25" customHeight="1">
      <c r="D208" s="64"/>
      <c r="E208" s="64"/>
      <c r="F208" s="64"/>
      <c r="G208" s="65"/>
      <c r="H208" s="66" t="s">
        <v>762</v>
      </c>
      <c r="I208" s="64" t="s">
        <v>124</v>
      </c>
      <c r="J208" s="64" t="s">
        <v>285</v>
      </c>
      <c r="K208" s="67" t="s">
        <v>315</v>
      </c>
      <c r="L208" s="68" t="s">
        <v>779</v>
      </c>
      <c r="M208" s="69" t="s">
        <v>808</v>
      </c>
      <c r="N208" s="70" t="s">
        <v>809</v>
      </c>
      <c r="O208" s="69" t="s">
        <v>317</v>
      </c>
      <c r="P208" s="64" t="s">
        <v>768</v>
      </c>
      <c r="Q208" s="64" t="s">
        <v>769</v>
      </c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71"/>
      <c r="AE208" s="72"/>
      <c r="AF208" s="72"/>
      <c r="AG208" s="72"/>
      <c r="AH208" s="72"/>
      <c r="AI208" s="72"/>
      <c r="AJ208" s="72"/>
      <c r="AK208" s="72"/>
    </row>
    <row r="209" spans="4:37" ht="14.25" customHeight="1">
      <c r="D209" s="64"/>
      <c r="E209" s="64"/>
      <c r="F209" s="64"/>
      <c r="G209" s="65" t="s">
        <v>839</v>
      </c>
      <c r="H209" s="64"/>
      <c r="I209" s="64" t="s">
        <v>124</v>
      </c>
      <c r="J209" s="64" t="s">
        <v>285</v>
      </c>
      <c r="K209" s="64" t="s">
        <v>819</v>
      </c>
      <c r="L209" s="64"/>
      <c r="M209" s="64">
        <v>0.1</v>
      </c>
      <c r="N209" s="64">
        <v>50</v>
      </c>
      <c r="O209" s="64" t="s">
        <v>855</v>
      </c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71"/>
      <c r="AE209" s="72"/>
      <c r="AF209" s="72"/>
      <c r="AG209" s="72"/>
      <c r="AH209" s="72"/>
      <c r="AI209" s="72"/>
      <c r="AJ209" s="72"/>
      <c r="AK209" s="72"/>
    </row>
    <row r="210" spans="4:37" ht="14.25" customHeight="1"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71"/>
      <c r="AE210" s="72"/>
      <c r="AF210" s="72"/>
      <c r="AG210" s="72"/>
      <c r="AH210" s="72"/>
      <c r="AI210" s="72"/>
      <c r="AJ210" s="72"/>
      <c r="AK210" s="72"/>
    </row>
    <row r="211" spans="4:37" ht="14.25" customHeight="1">
      <c r="D211" s="64"/>
      <c r="E211" s="64"/>
      <c r="F211" s="64"/>
      <c r="G211" s="65"/>
      <c r="H211" s="66" t="s">
        <v>762</v>
      </c>
      <c r="I211" s="64" t="s">
        <v>124</v>
      </c>
      <c r="J211" s="64" t="s">
        <v>286</v>
      </c>
      <c r="K211" s="67" t="s">
        <v>315</v>
      </c>
      <c r="L211" s="68" t="s">
        <v>779</v>
      </c>
      <c r="M211" s="69" t="s">
        <v>808</v>
      </c>
      <c r="N211" s="70" t="s">
        <v>809</v>
      </c>
      <c r="O211" s="64" t="s">
        <v>768</v>
      </c>
      <c r="P211" s="64" t="s">
        <v>769</v>
      </c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71"/>
      <c r="AE211" s="72"/>
      <c r="AF211" s="72"/>
      <c r="AG211" s="72"/>
      <c r="AH211" s="72"/>
      <c r="AI211" s="72"/>
      <c r="AJ211" s="72"/>
      <c r="AK211" s="72"/>
    </row>
    <row r="212" spans="4:37" ht="14.25" customHeight="1">
      <c r="D212" s="64"/>
      <c r="E212" s="64"/>
      <c r="F212" s="64"/>
      <c r="G212" s="65" t="s">
        <v>840</v>
      </c>
      <c r="H212" s="64"/>
      <c r="I212" s="64" t="s">
        <v>124</v>
      </c>
      <c r="J212" s="64" t="s">
        <v>286</v>
      </c>
      <c r="K212" s="64" t="s">
        <v>820</v>
      </c>
      <c r="L212" s="64"/>
      <c r="M212" s="64">
        <v>0.5</v>
      </c>
      <c r="N212" s="64">
        <v>50</v>
      </c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71"/>
      <c r="AE212" s="72"/>
      <c r="AF212" s="72"/>
      <c r="AG212" s="72"/>
      <c r="AH212" s="72"/>
      <c r="AI212" s="72"/>
      <c r="AJ212" s="72"/>
      <c r="AK212" s="72"/>
    </row>
    <row r="213" spans="4:37" ht="14.25" customHeight="1"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71"/>
      <c r="AE213" s="72"/>
      <c r="AF213" s="72"/>
      <c r="AG213" s="72"/>
      <c r="AH213" s="72"/>
      <c r="AI213" s="72"/>
      <c r="AJ213" s="72"/>
      <c r="AK213" s="72"/>
    </row>
    <row r="214" spans="4:37" ht="14.25" customHeight="1">
      <c r="D214" s="64"/>
      <c r="E214" s="64"/>
      <c r="F214" s="64"/>
      <c r="G214" s="65"/>
      <c r="H214" s="66" t="s">
        <v>762</v>
      </c>
      <c r="I214" s="64" t="s">
        <v>124</v>
      </c>
      <c r="J214" s="64" t="s">
        <v>287</v>
      </c>
      <c r="K214" s="67" t="s">
        <v>315</v>
      </c>
      <c r="L214" s="68" t="s">
        <v>779</v>
      </c>
      <c r="M214" s="69" t="s">
        <v>808</v>
      </c>
      <c r="N214" s="70" t="s">
        <v>809</v>
      </c>
      <c r="O214" s="64" t="s">
        <v>768</v>
      </c>
      <c r="P214" s="64" t="s">
        <v>769</v>
      </c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71"/>
      <c r="AE214" s="72"/>
      <c r="AF214" s="72"/>
      <c r="AG214" s="72"/>
      <c r="AH214" s="72"/>
      <c r="AI214" s="72"/>
      <c r="AJ214" s="72"/>
      <c r="AK214" s="72"/>
    </row>
    <row r="215" spans="4:37" ht="14.25" customHeight="1"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71"/>
      <c r="AE215" s="72"/>
      <c r="AF215" s="72"/>
      <c r="AG215" s="72"/>
      <c r="AH215" s="72"/>
      <c r="AI215" s="72"/>
      <c r="AJ215" s="72"/>
      <c r="AK215" s="72"/>
    </row>
    <row r="216" spans="4:37" ht="14.25" customHeight="1"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71"/>
      <c r="AE216" s="72"/>
      <c r="AF216" s="72"/>
      <c r="AG216" s="72"/>
      <c r="AH216" s="72"/>
      <c r="AI216" s="72"/>
      <c r="AJ216" s="72"/>
      <c r="AK216" s="72"/>
    </row>
    <row r="217" spans="4:37" ht="14.25" customHeight="1">
      <c r="D217" s="64"/>
      <c r="E217" s="64"/>
      <c r="F217" s="64"/>
      <c r="G217" s="65"/>
      <c r="H217" s="66" t="s">
        <v>762</v>
      </c>
      <c r="I217" s="64" t="s">
        <v>124</v>
      </c>
      <c r="J217" s="64" t="s">
        <v>288</v>
      </c>
      <c r="K217" s="67" t="s">
        <v>315</v>
      </c>
      <c r="L217" s="68" t="s">
        <v>779</v>
      </c>
      <c r="M217" s="69" t="s">
        <v>808</v>
      </c>
      <c r="N217" s="70" t="s">
        <v>809</v>
      </c>
      <c r="O217" s="64" t="s">
        <v>768</v>
      </c>
      <c r="P217" s="64" t="s">
        <v>769</v>
      </c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71"/>
      <c r="AE217" s="72"/>
      <c r="AF217" s="72"/>
      <c r="AG217" s="72"/>
      <c r="AH217" s="72"/>
      <c r="AI217" s="72"/>
      <c r="AJ217" s="72"/>
      <c r="AK217" s="72"/>
    </row>
    <row r="218" spans="4:37" ht="14.25" customHeight="1">
      <c r="D218" s="64"/>
      <c r="E218" s="64"/>
      <c r="F218" s="64"/>
      <c r="G218" s="65" t="s">
        <v>841</v>
      </c>
      <c r="H218" s="64"/>
      <c r="I218" s="64" t="s">
        <v>124</v>
      </c>
      <c r="J218" s="64" t="s">
        <v>288</v>
      </c>
      <c r="K218" s="64" t="s">
        <v>818</v>
      </c>
      <c r="L218" s="64"/>
      <c r="M218" s="64">
        <v>3</v>
      </c>
      <c r="N218" s="64">
        <v>50</v>
      </c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71"/>
      <c r="AE218" s="72"/>
      <c r="AF218" s="72"/>
      <c r="AG218" s="72"/>
      <c r="AH218" s="72"/>
      <c r="AI218" s="72"/>
      <c r="AJ218" s="72"/>
      <c r="AK218" s="72"/>
    </row>
    <row r="219" spans="4:37" ht="14.25" customHeight="1"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71"/>
      <c r="AE219" s="72"/>
      <c r="AF219" s="72"/>
      <c r="AG219" s="72"/>
      <c r="AH219" s="72"/>
      <c r="AI219" s="72"/>
      <c r="AJ219" s="72"/>
      <c r="AK219" s="72"/>
    </row>
    <row r="220" spans="4:37" ht="14.25" customHeight="1">
      <c r="D220" s="64"/>
      <c r="E220" s="64"/>
      <c r="F220" s="64"/>
      <c r="G220" s="65"/>
      <c r="H220" s="66" t="s">
        <v>762</v>
      </c>
      <c r="I220" s="64" t="s">
        <v>124</v>
      </c>
      <c r="J220" s="64" t="s">
        <v>289</v>
      </c>
      <c r="K220" s="67" t="s">
        <v>315</v>
      </c>
      <c r="L220" s="68" t="s">
        <v>779</v>
      </c>
      <c r="M220" s="69" t="s">
        <v>808</v>
      </c>
      <c r="N220" s="70" t="s">
        <v>809</v>
      </c>
      <c r="O220" s="64" t="s">
        <v>768</v>
      </c>
      <c r="P220" s="64" t="s">
        <v>769</v>
      </c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71"/>
      <c r="AE220" s="72"/>
      <c r="AF220" s="72"/>
      <c r="AG220" s="72"/>
      <c r="AH220" s="72"/>
      <c r="AI220" s="72"/>
      <c r="AJ220" s="72"/>
      <c r="AK220" s="72"/>
    </row>
    <row r="221" spans="4:37" ht="14.25" customHeight="1"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71"/>
      <c r="AE221" s="72"/>
      <c r="AF221" s="72"/>
      <c r="AG221" s="72"/>
      <c r="AH221" s="72"/>
      <c r="AI221" s="72"/>
      <c r="AJ221" s="72"/>
      <c r="AK221" s="72"/>
    </row>
    <row r="222" spans="4:37" ht="14.25" customHeight="1"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71"/>
      <c r="AE222" s="72"/>
      <c r="AF222" s="72"/>
      <c r="AG222" s="72"/>
      <c r="AH222" s="72"/>
      <c r="AI222" s="72"/>
      <c r="AJ222" s="72"/>
      <c r="AK222" s="72"/>
    </row>
    <row r="223" spans="4:37" ht="14.25" customHeight="1">
      <c r="D223" s="64"/>
      <c r="E223" s="64"/>
      <c r="F223" s="64"/>
      <c r="G223" s="65"/>
      <c r="H223" s="66" t="s">
        <v>762</v>
      </c>
      <c r="I223" s="64" t="s">
        <v>124</v>
      </c>
      <c r="J223" s="64" t="s">
        <v>290</v>
      </c>
      <c r="K223" s="67" t="s">
        <v>315</v>
      </c>
      <c r="L223" s="68" t="s">
        <v>779</v>
      </c>
      <c r="M223" s="69" t="s">
        <v>808</v>
      </c>
      <c r="N223" s="70" t="s">
        <v>809</v>
      </c>
      <c r="O223" s="64" t="s">
        <v>768</v>
      </c>
      <c r="P223" s="64" t="s">
        <v>769</v>
      </c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71"/>
      <c r="AE223" s="72"/>
      <c r="AF223" s="72"/>
      <c r="AG223" s="72"/>
      <c r="AH223" s="72"/>
      <c r="AI223" s="72"/>
      <c r="AJ223" s="72"/>
      <c r="AK223" s="72"/>
    </row>
    <row r="224" spans="4:37" ht="14.25" customHeight="1"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71"/>
      <c r="AE224" s="72"/>
      <c r="AF224" s="72"/>
      <c r="AG224" s="72"/>
      <c r="AH224" s="72"/>
      <c r="AI224" s="72"/>
      <c r="AJ224" s="72"/>
      <c r="AK224" s="72"/>
    </row>
    <row r="225" spans="4:37" ht="14.25" customHeight="1"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71"/>
      <c r="AE225" s="72"/>
      <c r="AF225" s="72"/>
      <c r="AG225" s="72"/>
      <c r="AH225" s="72"/>
      <c r="AI225" s="72"/>
      <c r="AJ225" s="72"/>
      <c r="AK225" s="72"/>
    </row>
    <row r="226" spans="4:37" ht="14.25" customHeight="1">
      <c r="D226" s="64"/>
      <c r="E226" s="64"/>
      <c r="F226" s="64"/>
      <c r="G226" s="65"/>
      <c r="H226" s="66" t="s">
        <v>762</v>
      </c>
      <c r="I226" s="64" t="s">
        <v>124</v>
      </c>
      <c r="J226" s="64" t="s">
        <v>291</v>
      </c>
      <c r="K226" s="67" t="s">
        <v>315</v>
      </c>
      <c r="L226" s="68" t="s">
        <v>779</v>
      </c>
      <c r="M226" s="69" t="s">
        <v>808</v>
      </c>
      <c r="N226" s="70" t="s">
        <v>809</v>
      </c>
      <c r="O226" s="64" t="s">
        <v>768</v>
      </c>
      <c r="P226" s="64" t="s">
        <v>769</v>
      </c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71"/>
      <c r="AE226" s="72"/>
      <c r="AF226" s="72"/>
      <c r="AG226" s="72"/>
      <c r="AH226" s="72"/>
      <c r="AI226" s="72"/>
      <c r="AJ226" s="72"/>
      <c r="AK226" s="72"/>
    </row>
    <row r="227" spans="4:37" ht="14.25" customHeight="1"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71"/>
      <c r="AE227" s="72"/>
      <c r="AF227" s="72"/>
      <c r="AG227" s="72"/>
      <c r="AH227" s="72"/>
      <c r="AI227" s="72"/>
      <c r="AJ227" s="72"/>
      <c r="AK227" s="72"/>
    </row>
    <row r="228" spans="4:37" ht="14.25" customHeight="1"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71"/>
      <c r="AE228" s="72"/>
      <c r="AF228" s="72"/>
      <c r="AG228" s="72"/>
      <c r="AH228" s="72"/>
      <c r="AI228" s="72"/>
      <c r="AJ228" s="72"/>
      <c r="AK228" s="72"/>
    </row>
    <row r="229" spans="4:37" ht="14.25" customHeight="1">
      <c r="D229" s="64"/>
      <c r="E229" s="64"/>
      <c r="F229" s="64"/>
      <c r="G229" s="65"/>
      <c r="H229" s="66" t="s">
        <v>762</v>
      </c>
      <c r="I229" s="64" t="s">
        <v>124</v>
      </c>
      <c r="J229" s="64" t="s">
        <v>292</v>
      </c>
      <c r="K229" s="67" t="s">
        <v>315</v>
      </c>
      <c r="L229" s="68" t="s">
        <v>779</v>
      </c>
      <c r="M229" s="69" t="s">
        <v>808</v>
      </c>
      <c r="N229" s="70" t="s">
        <v>809</v>
      </c>
      <c r="O229" s="64" t="s">
        <v>768</v>
      </c>
      <c r="P229" s="64" t="s">
        <v>769</v>
      </c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71"/>
      <c r="AE229" s="72"/>
      <c r="AF229" s="72"/>
      <c r="AG229" s="72"/>
      <c r="AH229" s="72"/>
      <c r="AI229" s="72"/>
      <c r="AJ229" s="72"/>
      <c r="AK229" s="72"/>
    </row>
    <row r="230" spans="4:37" ht="14.25" customHeight="1"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71"/>
      <c r="AE230" s="72"/>
      <c r="AF230" s="72"/>
      <c r="AG230" s="72"/>
      <c r="AH230" s="72"/>
      <c r="AI230" s="72"/>
      <c r="AJ230" s="72"/>
      <c r="AK230" s="72"/>
    </row>
    <row r="231" spans="4:37" ht="14.25" customHeight="1"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5"/>
      <c r="AE231" s="64"/>
      <c r="AF231" s="64"/>
      <c r="AG231" s="64"/>
      <c r="AH231" s="64"/>
      <c r="AI231" s="64"/>
      <c r="AJ231" s="64"/>
      <c r="AK231" s="64"/>
    </row>
    <row r="232" spans="4:37" ht="14.25" customHeight="1">
      <c r="D232" s="64"/>
      <c r="E232" s="64"/>
      <c r="F232" s="64"/>
      <c r="G232" s="65"/>
      <c r="H232" s="66" t="s">
        <v>762</v>
      </c>
      <c r="I232" s="64" t="s">
        <v>124</v>
      </c>
      <c r="J232" s="64" t="s">
        <v>293</v>
      </c>
      <c r="K232" s="67" t="s">
        <v>315</v>
      </c>
      <c r="L232" s="68" t="s">
        <v>779</v>
      </c>
      <c r="M232" s="69" t="s">
        <v>808</v>
      </c>
      <c r="N232" s="70" t="s">
        <v>809</v>
      </c>
      <c r="O232" s="64" t="s">
        <v>768</v>
      </c>
      <c r="P232" s="64" t="s">
        <v>769</v>
      </c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71"/>
      <c r="AE232" s="72"/>
      <c r="AF232" s="72"/>
      <c r="AG232" s="72"/>
      <c r="AH232" s="72"/>
      <c r="AI232" s="72"/>
      <c r="AJ232" s="72"/>
      <c r="AK232" s="72"/>
    </row>
    <row r="233" spans="4:37" ht="14.25" customHeight="1"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71"/>
      <c r="AE233" s="72"/>
      <c r="AF233" s="72"/>
      <c r="AG233" s="72"/>
      <c r="AH233" s="72"/>
      <c r="AI233" s="72"/>
      <c r="AJ233" s="72"/>
      <c r="AK233" s="72"/>
    </row>
    <row r="234" spans="4:37" ht="14.25" customHeight="1"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71"/>
      <c r="AE234" s="72"/>
      <c r="AF234" s="72"/>
      <c r="AG234" s="72"/>
      <c r="AH234" s="72"/>
      <c r="AI234" s="72"/>
      <c r="AJ234" s="72"/>
      <c r="AK234" s="72"/>
    </row>
    <row r="235" spans="4:37" ht="14.25" customHeight="1">
      <c r="D235" s="64"/>
      <c r="E235" s="64"/>
      <c r="F235" s="64"/>
      <c r="G235" s="65"/>
      <c r="H235" s="66" t="s">
        <v>762</v>
      </c>
      <c r="I235" s="64" t="s">
        <v>124</v>
      </c>
      <c r="J235" s="64" t="s">
        <v>294</v>
      </c>
      <c r="K235" s="67" t="s">
        <v>315</v>
      </c>
      <c r="L235" s="68" t="s">
        <v>779</v>
      </c>
      <c r="M235" s="69" t="s">
        <v>808</v>
      </c>
      <c r="N235" s="70" t="s">
        <v>809</v>
      </c>
      <c r="O235" s="69" t="s">
        <v>317</v>
      </c>
      <c r="P235" s="64" t="s">
        <v>768</v>
      </c>
      <c r="Q235" s="64" t="s">
        <v>769</v>
      </c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71"/>
      <c r="AE235" s="72"/>
      <c r="AF235" s="72"/>
      <c r="AG235" s="72"/>
      <c r="AH235" s="72"/>
      <c r="AI235" s="72"/>
      <c r="AJ235" s="72"/>
      <c r="AK235" s="72"/>
    </row>
    <row r="236" spans="4:37" ht="14.25" customHeight="1"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71"/>
      <c r="AE236" s="72"/>
      <c r="AF236" s="72"/>
      <c r="AG236" s="72"/>
      <c r="AH236" s="72"/>
      <c r="AI236" s="72"/>
      <c r="AJ236" s="72"/>
      <c r="AK236" s="72"/>
    </row>
    <row r="237" spans="4:37" ht="14.25" customHeight="1"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71"/>
      <c r="AE237" s="72"/>
      <c r="AF237" s="72"/>
      <c r="AG237" s="72"/>
      <c r="AH237" s="72"/>
      <c r="AI237" s="72"/>
      <c r="AJ237" s="72"/>
      <c r="AK237" s="72"/>
    </row>
    <row r="238" spans="4:37" ht="14.25" customHeight="1">
      <c r="D238" s="64"/>
      <c r="E238" s="64"/>
      <c r="F238" s="64"/>
      <c r="G238" s="65"/>
      <c r="H238" s="66" t="s">
        <v>762</v>
      </c>
      <c r="I238" s="64" t="s">
        <v>124</v>
      </c>
      <c r="J238" s="64" t="s">
        <v>295</v>
      </c>
      <c r="K238" s="67" t="s">
        <v>315</v>
      </c>
      <c r="L238" s="68" t="s">
        <v>779</v>
      </c>
      <c r="M238" s="69" t="s">
        <v>808</v>
      </c>
      <c r="N238" s="70" t="s">
        <v>809</v>
      </c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71"/>
      <c r="AE238" s="72"/>
      <c r="AF238" s="72"/>
      <c r="AG238" s="72"/>
      <c r="AH238" s="72"/>
      <c r="AI238" s="72"/>
      <c r="AJ238" s="72"/>
      <c r="AK238" s="72"/>
    </row>
    <row r="239" spans="4:37" ht="14.25" customHeight="1">
      <c r="D239" s="64"/>
      <c r="E239" s="64"/>
      <c r="F239" s="64"/>
      <c r="G239" s="65" t="s">
        <v>842</v>
      </c>
      <c r="H239" s="64"/>
      <c r="I239" s="64" t="s">
        <v>124</v>
      </c>
      <c r="J239" s="64" t="s">
        <v>295</v>
      </c>
      <c r="K239" s="64" t="s">
        <v>820</v>
      </c>
      <c r="L239" s="64"/>
      <c r="M239" s="64">
        <v>0.21</v>
      </c>
      <c r="N239" s="64">
        <v>50</v>
      </c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71"/>
      <c r="AE239" s="72"/>
      <c r="AF239" s="72"/>
      <c r="AG239" s="72"/>
      <c r="AH239" s="72"/>
      <c r="AI239" s="72"/>
      <c r="AJ239" s="72"/>
      <c r="AK239" s="72"/>
    </row>
    <row r="240" spans="4:37" ht="14.25" customHeight="1"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71"/>
      <c r="AE240" s="72"/>
      <c r="AF240" s="72"/>
      <c r="AG240" s="72"/>
      <c r="AH240" s="72"/>
      <c r="AI240" s="72"/>
      <c r="AJ240" s="72"/>
      <c r="AK240" s="72"/>
    </row>
    <row r="241" spans="1:37" ht="14.25" customHeight="1">
      <c r="D241" s="64"/>
      <c r="E241" s="64"/>
      <c r="F241" s="64"/>
      <c r="G241" s="65"/>
      <c r="H241" s="66" t="s">
        <v>762</v>
      </c>
      <c r="I241" s="64" t="s">
        <v>124</v>
      </c>
      <c r="J241" s="64" t="s">
        <v>296</v>
      </c>
      <c r="K241" s="67" t="s">
        <v>315</v>
      </c>
      <c r="L241" s="68" t="s">
        <v>779</v>
      </c>
      <c r="M241" s="69" t="s">
        <v>808</v>
      </c>
      <c r="N241" s="70" t="s">
        <v>809</v>
      </c>
      <c r="O241" s="64" t="s">
        <v>768</v>
      </c>
      <c r="P241" s="64" t="s">
        <v>769</v>
      </c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71"/>
      <c r="AE241" s="72"/>
      <c r="AF241" s="72"/>
      <c r="AG241" s="72"/>
      <c r="AH241" s="72"/>
      <c r="AI241" s="72"/>
      <c r="AJ241" s="72"/>
      <c r="AK241" s="72"/>
    </row>
    <row r="242" spans="1:37" ht="14.25" customHeight="1">
      <c r="D242" s="64"/>
      <c r="E242" s="64"/>
      <c r="F242" s="64"/>
      <c r="G242" s="65" t="s">
        <v>843</v>
      </c>
      <c r="H242" s="64"/>
      <c r="I242" s="64" t="s">
        <v>124</v>
      </c>
      <c r="J242" s="64" t="s">
        <v>296</v>
      </c>
      <c r="K242" s="64" t="s">
        <v>818</v>
      </c>
      <c r="L242" s="64"/>
      <c r="M242" s="64">
        <v>0.15</v>
      </c>
      <c r="N242" s="64">
        <v>50</v>
      </c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71"/>
      <c r="AE242" s="72"/>
      <c r="AF242" s="72"/>
      <c r="AG242" s="72"/>
      <c r="AH242" s="72"/>
      <c r="AI242" s="72"/>
      <c r="AJ242" s="72"/>
      <c r="AK242" s="72"/>
    </row>
    <row r="243" spans="1:37" ht="14.25" customHeight="1"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5"/>
      <c r="AE243" s="64"/>
      <c r="AF243" s="64"/>
      <c r="AG243" s="64"/>
      <c r="AH243" s="64"/>
      <c r="AI243" s="64"/>
      <c r="AJ243" s="64"/>
      <c r="AK243" s="64"/>
    </row>
    <row r="244" spans="1:37" ht="14.25" customHeight="1">
      <c r="D244" s="64"/>
      <c r="E244" s="64"/>
      <c r="F244" s="64"/>
      <c r="G244" s="65"/>
      <c r="H244" s="66" t="s">
        <v>762</v>
      </c>
      <c r="I244" s="64" t="s">
        <v>214</v>
      </c>
      <c r="J244" s="64" t="s">
        <v>297</v>
      </c>
      <c r="K244" s="64" t="s">
        <v>810</v>
      </c>
      <c r="L244" s="69" t="s">
        <v>317</v>
      </c>
      <c r="M244" s="64" t="s">
        <v>768</v>
      </c>
      <c r="N244" s="64" t="s">
        <v>811</v>
      </c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71"/>
      <c r="AE244" s="72"/>
      <c r="AF244" s="72"/>
      <c r="AG244" s="72"/>
      <c r="AH244" s="72"/>
      <c r="AI244" s="72"/>
      <c r="AJ244" s="72"/>
      <c r="AK244" s="72"/>
    </row>
    <row r="245" spans="1:37" ht="14.25" customHeight="1"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71"/>
      <c r="AE245" s="72"/>
      <c r="AF245" s="72"/>
      <c r="AG245" s="72"/>
      <c r="AH245" s="72"/>
      <c r="AI245" s="72"/>
      <c r="AJ245" s="72"/>
      <c r="AK245" s="72"/>
    </row>
    <row r="246" spans="1:37" ht="14.25" customHeight="1"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5"/>
      <c r="AE246" s="64"/>
      <c r="AF246" s="64"/>
      <c r="AG246" s="64"/>
      <c r="AH246" s="64"/>
      <c r="AI246" s="64"/>
      <c r="AJ246" s="64"/>
      <c r="AK246" s="64"/>
    </row>
    <row r="247" spans="1:37" ht="14.25" customHeight="1">
      <c r="D247" s="64"/>
      <c r="E247" s="64"/>
      <c r="F247" s="64"/>
      <c r="G247" s="65"/>
      <c r="H247" s="66" t="s">
        <v>762</v>
      </c>
      <c r="I247" s="64" t="s">
        <v>214</v>
      </c>
      <c r="J247" s="64" t="s">
        <v>298</v>
      </c>
      <c r="K247" s="69" t="s">
        <v>317</v>
      </c>
      <c r="L247" s="69" t="s">
        <v>346</v>
      </c>
      <c r="M247" s="69" t="s">
        <v>347</v>
      </c>
      <c r="N247" s="69" t="s">
        <v>348</v>
      </c>
      <c r="O247" s="69" t="s">
        <v>344</v>
      </c>
      <c r="P247" s="64" t="s">
        <v>768</v>
      </c>
      <c r="Q247" s="64" t="s">
        <v>811</v>
      </c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71"/>
      <c r="AE247" s="72"/>
      <c r="AF247" s="72"/>
      <c r="AG247" s="72"/>
      <c r="AH247" s="72"/>
      <c r="AI247" s="72"/>
      <c r="AJ247" s="72"/>
      <c r="AK247" s="72"/>
    </row>
    <row r="248" spans="1:37" ht="14.25" customHeight="1"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71"/>
      <c r="AE248" s="72"/>
      <c r="AF248" s="72"/>
      <c r="AG248" s="72"/>
      <c r="AH248" s="72"/>
      <c r="AI248" s="72"/>
      <c r="AJ248" s="72"/>
      <c r="AK248" s="72"/>
    </row>
    <row r="249" spans="1:37" ht="14.25" customHeight="1"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5"/>
      <c r="AE249" s="64"/>
      <c r="AF249" s="64"/>
      <c r="AG249" s="64"/>
      <c r="AH249" s="64"/>
      <c r="AI249" s="64"/>
      <c r="AJ249" s="64"/>
      <c r="AK249" s="64"/>
    </row>
    <row r="250" spans="1:37" ht="14.25" customHeight="1">
      <c r="D250" s="64"/>
      <c r="E250" s="64"/>
      <c r="F250" s="64"/>
      <c r="G250" s="65"/>
      <c r="H250" s="66" t="s">
        <v>762</v>
      </c>
      <c r="I250" s="64" t="s">
        <v>117</v>
      </c>
      <c r="J250" s="64" t="s">
        <v>299</v>
      </c>
      <c r="K250" s="67" t="s">
        <v>315</v>
      </c>
      <c r="L250" s="69" t="s">
        <v>317</v>
      </c>
      <c r="M250" s="69" t="s">
        <v>812</v>
      </c>
      <c r="N250" s="69" t="s">
        <v>332</v>
      </c>
      <c r="O250" s="64" t="s">
        <v>778</v>
      </c>
      <c r="P250" s="68" t="s">
        <v>779</v>
      </c>
      <c r="Q250" s="69" t="s">
        <v>90</v>
      </c>
      <c r="R250" s="69" t="s">
        <v>330</v>
      </c>
      <c r="S250" s="70" t="s">
        <v>768</v>
      </c>
      <c r="T250" s="64" t="s">
        <v>793</v>
      </c>
      <c r="U250" s="64"/>
      <c r="V250" s="64"/>
      <c r="W250" s="64"/>
      <c r="X250" s="64"/>
      <c r="Y250" s="64"/>
      <c r="Z250" s="64"/>
      <c r="AA250" s="64"/>
      <c r="AB250" s="64"/>
      <c r="AC250" s="64"/>
      <c r="AD250" s="71"/>
      <c r="AE250" s="72"/>
      <c r="AF250" s="72"/>
      <c r="AG250" s="72"/>
      <c r="AH250" s="72"/>
      <c r="AI250" s="72"/>
      <c r="AJ250" s="72"/>
      <c r="AK250" s="72"/>
    </row>
    <row r="251" spans="1:37" ht="14.25" customHeight="1"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71"/>
      <c r="AE251" s="72"/>
      <c r="AF251" s="72"/>
      <c r="AG251" s="72"/>
      <c r="AH251" s="72"/>
      <c r="AI251" s="72"/>
      <c r="AJ251" s="72"/>
      <c r="AK251" s="72"/>
    </row>
    <row r="252" spans="1:37" ht="14.25" customHeight="1"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71"/>
      <c r="AE252" s="72"/>
      <c r="AF252" s="72"/>
      <c r="AG252" s="72"/>
      <c r="AH252" s="72"/>
      <c r="AI252" s="72"/>
      <c r="AJ252" s="72"/>
      <c r="AK252" s="72"/>
    </row>
    <row r="253" spans="1:37" ht="14.25" customHeight="1">
      <c r="D253" s="64"/>
      <c r="E253" s="64"/>
      <c r="F253" s="64"/>
      <c r="G253" s="65"/>
      <c r="H253" s="66" t="s">
        <v>762</v>
      </c>
      <c r="I253" s="64" t="s">
        <v>117</v>
      </c>
      <c r="J253" s="64" t="s">
        <v>300</v>
      </c>
      <c r="K253" s="67" t="s">
        <v>315</v>
      </c>
      <c r="L253" s="69" t="s">
        <v>349</v>
      </c>
      <c r="M253" s="68" t="s">
        <v>813</v>
      </c>
      <c r="N253" s="69" t="s">
        <v>765</v>
      </c>
      <c r="O253" s="70" t="s">
        <v>766</v>
      </c>
      <c r="P253" s="64" t="s">
        <v>814</v>
      </c>
      <c r="Q253" s="69" t="s">
        <v>342</v>
      </c>
      <c r="R253" s="64" t="s">
        <v>778</v>
      </c>
      <c r="S253" s="68" t="s">
        <v>779</v>
      </c>
      <c r="T253" s="69" t="s">
        <v>90</v>
      </c>
      <c r="U253" s="69" t="s">
        <v>330</v>
      </c>
      <c r="V253" s="70" t="s">
        <v>768</v>
      </c>
      <c r="W253" s="64" t="s">
        <v>793</v>
      </c>
      <c r="X253" s="64"/>
      <c r="Y253" s="64"/>
      <c r="Z253" s="64"/>
      <c r="AA253" s="64"/>
      <c r="AB253" s="64"/>
      <c r="AC253" s="64"/>
      <c r="AD253" s="71"/>
      <c r="AE253" s="72"/>
      <c r="AF253" s="72"/>
      <c r="AG253" s="72"/>
      <c r="AH253" s="72"/>
      <c r="AI253" s="72"/>
      <c r="AJ253" s="72"/>
      <c r="AK253" s="72"/>
    </row>
    <row r="254" spans="1:37" ht="14.25" customHeight="1">
      <c r="D254" s="64"/>
      <c r="E254" s="64"/>
      <c r="F254" s="64"/>
      <c r="G254" s="65" t="s">
        <v>66</v>
      </c>
      <c r="H254" s="64"/>
      <c r="I254" s="64" t="s">
        <v>117</v>
      </c>
      <c r="J254" s="64" t="s">
        <v>300</v>
      </c>
      <c r="K254" s="64" t="s">
        <v>826</v>
      </c>
      <c r="L254" s="64" t="s">
        <v>851</v>
      </c>
      <c r="M254" s="64">
        <v>8.1999999999999993</v>
      </c>
      <c r="N254" s="64">
        <v>8.6999999999999993</v>
      </c>
      <c r="O254" s="64"/>
      <c r="P254" s="64"/>
      <c r="Q254" s="64" t="s">
        <v>862</v>
      </c>
      <c r="R254" s="64"/>
      <c r="S254" s="64">
        <v>4.1000000000000002E-2</v>
      </c>
      <c r="T254" s="64">
        <v>22</v>
      </c>
      <c r="U254" s="64" t="s">
        <v>859</v>
      </c>
      <c r="V254" s="64"/>
      <c r="W254" s="64"/>
      <c r="X254" s="64"/>
      <c r="Y254" s="64"/>
      <c r="Z254" s="64"/>
      <c r="AA254" s="64"/>
      <c r="AB254" s="64"/>
      <c r="AC254" s="64"/>
      <c r="AD254" s="71"/>
      <c r="AE254" s="72"/>
      <c r="AF254" s="72"/>
      <c r="AG254" s="72"/>
      <c r="AH254" s="72"/>
      <c r="AI254" s="72"/>
      <c r="AJ254" s="72"/>
      <c r="AK254" s="72"/>
    </row>
    <row r="255" spans="1:37" ht="14.25" customHeight="1">
      <c r="A255" s="75"/>
      <c r="B255" s="75"/>
      <c r="D255" s="64"/>
      <c r="E255" s="64"/>
      <c r="F255" s="64"/>
      <c r="G255" s="76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71"/>
      <c r="AE255" s="72"/>
      <c r="AF255" s="72"/>
      <c r="AG255" s="72"/>
      <c r="AH255" s="72"/>
      <c r="AI255" s="72"/>
      <c r="AJ255" s="72"/>
      <c r="AK255" s="72"/>
    </row>
    <row r="256" spans="1:37" ht="14.25" customHeight="1">
      <c r="D256" s="64"/>
      <c r="E256" s="75"/>
      <c r="F256" s="64"/>
      <c r="G256" s="65"/>
      <c r="H256" s="66" t="s">
        <v>762</v>
      </c>
      <c r="I256" s="64" t="s">
        <v>117</v>
      </c>
      <c r="J256" s="64" t="s">
        <v>305</v>
      </c>
      <c r="K256" s="67" t="s">
        <v>315</v>
      </c>
      <c r="L256" s="64" t="s">
        <v>350</v>
      </c>
      <c r="M256" s="69" t="s">
        <v>332</v>
      </c>
      <c r="N256" s="70" t="s">
        <v>808</v>
      </c>
      <c r="O256" s="69" t="s">
        <v>317</v>
      </c>
      <c r="P256" s="64"/>
      <c r="Q256" s="64" t="s">
        <v>778</v>
      </c>
      <c r="R256" s="68" t="s">
        <v>779</v>
      </c>
      <c r="S256" s="64"/>
      <c r="T256" s="69" t="s">
        <v>90</v>
      </c>
      <c r="U256" s="69" t="s">
        <v>330</v>
      </c>
      <c r="V256" s="70" t="s">
        <v>768</v>
      </c>
      <c r="W256" s="64"/>
      <c r="X256" s="64" t="s">
        <v>793</v>
      </c>
      <c r="Y256" s="64"/>
      <c r="Z256" s="64"/>
      <c r="AA256" s="64"/>
      <c r="AB256" s="64"/>
      <c r="AC256" s="64"/>
      <c r="AD256" s="71"/>
      <c r="AE256" s="72"/>
      <c r="AF256" s="72"/>
      <c r="AG256" s="72"/>
      <c r="AH256" s="72"/>
      <c r="AI256" s="72"/>
      <c r="AJ256" s="72"/>
      <c r="AK256" s="72"/>
    </row>
    <row r="257" spans="4:37" ht="14.25" customHeight="1">
      <c r="D257" s="64"/>
      <c r="E257" s="64"/>
      <c r="F257" s="64"/>
      <c r="G257" s="65" t="s">
        <v>845</v>
      </c>
      <c r="H257" s="64"/>
      <c r="I257" s="64" t="s">
        <v>117</v>
      </c>
      <c r="J257" s="64" t="s">
        <v>305</v>
      </c>
      <c r="K257" s="64" t="s">
        <v>826</v>
      </c>
      <c r="L257" s="64"/>
      <c r="M257" s="64" t="s">
        <v>852</v>
      </c>
      <c r="N257" s="64"/>
      <c r="O257" s="64" t="s">
        <v>856</v>
      </c>
      <c r="P257" s="64"/>
      <c r="Q257" s="64"/>
      <c r="R257" s="64">
        <v>0.33</v>
      </c>
      <c r="S257" s="64"/>
      <c r="T257" s="64">
        <v>22</v>
      </c>
      <c r="U257" s="64" t="s">
        <v>859</v>
      </c>
      <c r="V257" s="64"/>
      <c r="W257" s="64"/>
      <c r="X257" s="64"/>
      <c r="Y257" s="64"/>
      <c r="Z257" s="64"/>
      <c r="AA257" s="64"/>
      <c r="AB257" s="64"/>
      <c r="AC257" s="64"/>
      <c r="AD257" s="71"/>
      <c r="AE257" s="72"/>
      <c r="AF257" s="72"/>
      <c r="AG257" s="72"/>
      <c r="AH257" s="72"/>
      <c r="AI257" s="72"/>
      <c r="AJ257" s="72"/>
      <c r="AK257" s="72"/>
    </row>
    <row r="258" spans="4:37"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71"/>
      <c r="AE258" s="72"/>
      <c r="AF258" s="72"/>
      <c r="AG258" s="72"/>
      <c r="AH258" s="72"/>
      <c r="AI258" s="72"/>
      <c r="AJ258" s="72"/>
      <c r="AK258" s="72"/>
    </row>
    <row r="259" spans="4:37">
      <c r="D259" s="64"/>
      <c r="E259" s="64"/>
      <c r="F259" s="64"/>
      <c r="G259" s="65"/>
      <c r="H259" s="66" t="s">
        <v>762</v>
      </c>
      <c r="I259" s="64" t="s">
        <v>117</v>
      </c>
      <c r="J259" s="64" t="s">
        <v>306</v>
      </c>
      <c r="K259" s="67" t="s">
        <v>315</v>
      </c>
      <c r="L259" s="68" t="s">
        <v>813</v>
      </c>
      <c r="M259" s="70" t="s">
        <v>765</v>
      </c>
      <c r="N259" s="69" t="s">
        <v>766</v>
      </c>
      <c r="O259" s="69" t="s">
        <v>815</v>
      </c>
      <c r="P259" s="64" t="s">
        <v>778</v>
      </c>
      <c r="Q259" s="68" t="s">
        <v>779</v>
      </c>
      <c r="R259" s="69" t="s">
        <v>90</v>
      </c>
      <c r="S259" s="70" t="s">
        <v>330</v>
      </c>
      <c r="T259" s="70" t="s">
        <v>768</v>
      </c>
      <c r="U259" s="64" t="s">
        <v>793</v>
      </c>
      <c r="V259" s="64"/>
      <c r="W259" s="64"/>
      <c r="X259" s="64"/>
      <c r="Y259" s="64"/>
      <c r="Z259" s="64"/>
      <c r="AA259" s="64"/>
      <c r="AB259" s="64"/>
      <c r="AC259" s="64"/>
      <c r="AD259" s="71"/>
      <c r="AE259" s="72"/>
      <c r="AF259" s="72"/>
      <c r="AG259" s="72"/>
      <c r="AH259" s="72"/>
      <c r="AI259" s="72"/>
      <c r="AJ259" s="72"/>
      <c r="AK259" s="72"/>
    </row>
    <row r="260" spans="4:37">
      <c r="D260" s="64"/>
      <c r="E260" s="64"/>
      <c r="F260" s="64"/>
      <c r="G260" s="65" t="s">
        <v>846</v>
      </c>
      <c r="H260" s="64"/>
      <c r="I260" s="64" t="s">
        <v>117</v>
      </c>
      <c r="J260" s="64" t="s">
        <v>306</v>
      </c>
      <c r="K260" s="64" t="s">
        <v>826</v>
      </c>
      <c r="L260" s="64">
        <v>30.8</v>
      </c>
      <c r="M260" s="64">
        <v>800</v>
      </c>
      <c r="N260" s="64"/>
      <c r="O260" s="64">
        <v>1.0000000000000001E-5</v>
      </c>
      <c r="P260" s="64"/>
      <c r="Q260" s="64"/>
      <c r="R260" s="64">
        <v>2.2000000000000002</v>
      </c>
      <c r="S260" s="64" t="s">
        <v>859</v>
      </c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71"/>
      <c r="AE260" s="72"/>
      <c r="AF260" s="72"/>
      <c r="AG260" s="72"/>
      <c r="AH260" s="72"/>
      <c r="AI260" s="72"/>
      <c r="AJ260" s="72"/>
      <c r="AK260" s="72"/>
    </row>
    <row r="261" spans="4:37"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71"/>
      <c r="AE261" s="72"/>
      <c r="AF261" s="72"/>
      <c r="AG261" s="72"/>
      <c r="AH261" s="72"/>
      <c r="AI261" s="72"/>
      <c r="AJ261" s="72"/>
      <c r="AK261" s="72"/>
    </row>
    <row r="262" spans="4:37">
      <c r="D262" s="64"/>
      <c r="E262" s="64"/>
      <c r="F262" s="64"/>
      <c r="G262" s="65"/>
      <c r="H262" s="66" t="s">
        <v>762</v>
      </c>
      <c r="I262" s="64" t="s">
        <v>117</v>
      </c>
      <c r="J262" s="64" t="s">
        <v>307</v>
      </c>
      <c r="K262" s="67" t="s">
        <v>315</v>
      </c>
      <c r="L262" s="64" t="s">
        <v>350</v>
      </c>
      <c r="M262" s="69" t="s">
        <v>332</v>
      </c>
      <c r="N262" s="68" t="s">
        <v>813</v>
      </c>
      <c r="O262" s="64"/>
      <c r="P262" s="69" t="s">
        <v>765</v>
      </c>
      <c r="Q262" s="64"/>
      <c r="R262" s="70" t="s">
        <v>766</v>
      </c>
      <c r="S262" s="64"/>
      <c r="T262" s="70" t="s">
        <v>808</v>
      </c>
      <c r="U262" s="64" t="s">
        <v>778</v>
      </c>
      <c r="V262" s="64"/>
      <c r="W262" s="68" t="s">
        <v>779</v>
      </c>
      <c r="X262" s="64"/>
      <c r="Y262" s="69" t="s">
        <v>90</v>
      </c>
      <c r="Z262" s="69" t="s">
        <v>330</v>
      </c>
      <c r="AA262" s="70" t="s">
        <v>768</v>
      </c>
      <c r="AB262" s="64"/>
      <c r="AC262" s="64" t="s">
        <v>793</v>
      </c>
      <c r="AD262" s="71"/>
      <c r="AE262" s="72"/>
      <c r="AF262" s="72"/>
      <c r="AG262" s="72"/>
      <c r="AH262" s="72"/>
      <c r="AI262" s="72"/>
      <c r="AJ262" s="72"/>
      <c r="AK262" s="72"/>
    </row>
    <row r="263" spans="4:37">
      <c r="D263" s="64"/>
      <c r="E263" s="64"/>
      <c r="F263" s="64"/>
      <c r="G263" s="65" t="s">
        <v>847</v>
      </c>
      <c r="H263" s="64"/>
      <c r="I263" s="64" t="s">
        <v>117</v>
      </c>
      <c r="J263" s="64" t="s">
        <v>307</v>
      </c>
      <c r="K263" s="64" t="s">
        <v>826</v>
      </c>
      <c r="L263" s="64"/>
      <c r="M263" s="64" t="s">
        <v>852</v>
      </c>
      <c r="N263" s="64">
        <v>12</v>
      </c>
      <c r="O263" s="64"/>
      <c r="P263" s="64">
        <v>80</v>
      </c>
      <c r="Q263" s="64"/>
      <c r="R263" s="64"/>
      <c r="S263" s="64"/>
      <c r="T263" s="64">
        <v>2</v>
      </c>
      <c r="U263" s="64"/>
      <c r="V263" s="64"/>
      <c r="W263" s="64">
        <v>0.84</v>
      </c>
      <c r="X263" s="64"/>
      <c r="Y263" s="64">
        <v>22</v>
      </c>
      <c r="Z263" s="64" t="s">
        <v>859</v>
      </c>
      <c r="AA263" s="64"/>
      <c r="AB263" s="64"/>
      <c r="AC263" s="64"/>
      <c r="AD263" s="71"/>
      <c r="AE263" s="72"/>
      <c r="AF263" s="72"/>
      <c r="AG263" s="72"/>
      <c r="AH263" s="72"/>
      <c r="AI263" s="72"/>
      <c r="AJ263" s="72"/>
      <c r="AK263" s="72"/>
    </row>
    <row r="264" spans="4:37"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71"/>
      <c r="AE264" s="72"/>
      <c r="AF264" s="72"/>
      <c r="AG264" s="72"/>
      <c r="AH264" s="72"/>
      <c r="AI264" s="72"/>
      <c r="AJ264" s="72"/>
      <c r="AK264" s="72"/>
    </row>
    <row r="265" spans="4:37">
      <c r="D265" s="64"/>
      <c r="E265" s="64"/>
      <c r="F265" s="64"/>
      <c r="G265" s="65"/>
      <c r="H265" s="66" t="s">
        <v>762</v>
      </c>
      <c r="I265" s="64" t="s">
        <v>117</v>
      </c>
      <c r="J265" s="64" t="s">
        <v>308</v>
      </c>
      <c r="K265" s="67" t="s">
        <v>315</v>
      </c>
      <c r="L265" s="64" t="s">
        <v>778</v>
      </c>
      <c r="M265" s="68" t="s">
        <v>779</v>
      </c>
      <c r="N265" s="69" t="s">
        <v>90</v>
      </c>
      <c r="O265" s="69" t="s">
        <v>330</v>
      </c>
      <c r="P265" s="70" t="s">
        <v>768</v>
      </c>
      <c r="Q265" s="64" t="s">
        <v>793</v>
      </c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71"/>
      <c r="AE265" s="72"/>
      <c r="AF265" s="72"/>
      <c r="AG265" s="72"/>
      <c r="AH265" s="72"/>
      <c r="AI265" s="72"/>
      <c r="AJ265" s="72"/>
      <c r="AK265" s="72"/>
    </row>
    <row r="266" spans="4:37"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71"/>
      <c r="AE266" s="72"/>
      <c r="AF266" s="72"/>
      <c r="AG266" s="72"/>
      <c r="AH266" s="72"/>
      <c r="AI266" s="72"/>
      <c r="AJ266" s="72"/>
      <c r="AK266" s="72"/>
    </row>
    <row r="267" spans="4:37"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71"/>
      <c r="AE267" s="72"/>
      <c r="AF267" s="72"/>
      <c r="AG267" s="72"/>
      <c r="AH267" s="72"/>
      <c r="AI267" s="72"/>
      <c r="AJ267" s="72"/>
      <c r="AK267" s="72"/>
    </row>
    <row r="268" spans="4:37">
      <c r="D268" s="64"/>
      <c r="E268" s="64"/>
      <c r="F268" s="64"/>
      <c r="G268" s="65"/>
      <c r="H268" s="66" t="s">
        <v>762</v>
      </c>
      <c r="I268" s="64" t="s">
        <v>117</v>
      </c>
      <c r="J268" s="64" t="s">
        <v>302</v>
      </c>
      <c r="K268" s="67" t="s">
        <v>315</v>
      </c>
      <c r="L268" s="69" t="s">
        <v>349</v>
      </c>
      <c r="M268" s="70" t="s">
        <v>808</v>
      </c>
      <c r="N268" s="64" t="s">
        <v>778</v>
      </c>
      <c r="O268" s="68" t="s">
        <v>779</v>
      </c>
      <c r="P268" s="69" t="s">
        <v>90</v>
      </c>
      <c r="Q268" s="69" t="s">
        <v>330</v>
      </c>
      <c r="R268" s="70" t="s">
        <v>768</v>
      </c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71"/>
      <c r="AE268" s="72"/>
      <c r="AF268" s="72"/>
      <c r="AG268" s="72"/>
      <c r="AH268" s="72"/>
      <c r="AI268" s="72"/>
      <c r="AJ268" s="72"/>
      <c r="AK268" s="72"/>
    </row>
    <row r="269" spans="4:37"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71"/>
      <c r="AE269" s="72"/>
      <c r="AF269" s="72"/>
      <c r="AG269" s="72"/>
      <c r="AH269" s="72"/>
      <c r="AI269" s="72"/>
      <c r="AJ269" s="72"/>
      <c r="AK269" s="72"/>
    </row>
    <row r="270" spans="4:37"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71"/>
      <c r="AE270" s="72"/>
      <c r="AF270" s="72"/>
      <c r="AG270" s="72"/>
      <c r="AH270" s="72"/>
      <c r="AI270" s="72"/>
      <c r="AJ270" s="72"/>
      <c r="AK270" s="72"/>
    </row>
    <row r="271" spans="4:37">
      <c r="D271" s="64"/>
      <c r="E271" s="64"/>
      <c r="F271" s="64"/>
      <c r="G271" s="65"/>
      <c r="H271" s="66" t="s">
        <v>762</v>
      </c>
      <c r="I271" s="64" t="s">
        <v>117</v>
      </c>
      <c r="J271" s="64" t="s">
        <v>301</v>
      </c>
      <c r="K271" s="67" t="s">
        <v>315</v>
      </c>
      <c r="L271" s="64"/>
      <c r="M271" s="69" t="s">
        <v>332</v>
      </c>
      <c r="N271" s="69" t="s">
        <v>351</v>
      </c>
      <c r="O271" s="69" t="s">
        <v>816</v>
      </c>
      <c r="P271" s="69" t="s">
        <v>799</v>
      </c>
      <c r="Q271" s="64" t="s">
        <v>778</v>
      </c>
      <c r="R271" s="64"/>
      <c r="S271" s="68" t="s">
        <v>779</v>
      </c>
      <c r="T271" s="64"/>
      <c r="U271" s="69" t="s">
        <v>90</v>
      </c>
      <c r="V271" s="69" t="s">
        <v>330</v>
      </c>
      <c r="W271" s="70" t="s">
        <v>768</v>
      </c>
      <c r="X271" s="64" t="s">
        <v>793</v>
      </c>
      <c r="Y271" s="64"/>
      <c r="Z271" s="64"/>
      <c r="AA271" s="64"/>
      <c r="AB271" s="64"/>
      <c r="AC271" s="64"/>
      <c r="AD271" s="71"/>
      <c r="AE271" s="72"/>
      <c r="AF271" s="72"/>
      <c r="AG271" s="72"/>
      <c r="AH271" s="72"/>
      <c r="AI271" s="72"/>
      <c r="AJ271" s="72"/>
      <c r="AK271" s="72"/>
    </row>
    <row r="272" spans="4:37"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71"/>
      <c r="AE272" s="72"/>
      <c r="AF272" s="72"/>
      <c r="AG272" s="72"/>
      <c r="AH272" s="72"/>
      <c r="AI272" s="72"/>
      <c r="AJ272" s="72"/>
      <c r="AK272" s="72"/>
    </row>
    <row r="273" spans="4:37"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71"/>
      <c r="AE273" s="72"/>
      <c r="AF273" s="72"/>
      <c r="AG273" s="72"/>
      <c r="AH273" s="72"/>
      <c r="AI273" s="72"/>
      <c r="AJ273" s="72"/>
      <c r="AK273" s="72"/>
    </row>
    <row r="274" spans="4:37" ht="16.5" customHeight="1">
      <c r="D274" s="64"/>
      <c r="E274" s="64"/>
      <c r="F274" s="64"/>
      <c r="G274" s="65"/>
      <c r="H274" s="66" t="s">
        <v>762</v>
      </c>
      <c r="I274" s="64" t="s">
        <v>117</v>
      </c>
      <c r="J274" s="64" t="s">
        <v>304</v>
      </c>
      <c r="K274" s="67" t="s">
        <v>315</v>
      </c>
      <c r="L274" s="68" t="s">
        <v>813</v>
      </c>
      <c r="M274" s="69" t="s">
        <v>765</v>
      </c>
      <c r="N274" s="70" t="s">
        <v>766</v>
      </c>
      <c r="O274" s="70" t="s">
        <v>808</v>
      </c>
      <c r="P274" s="64" t="s">
        <v>778</v>
      </c>
      <c r="Q274" s="68" t="s">
        <v>779</v>
      </c>
      <c r="R274" s="69" t="s">
        <v>90</v>
      </c>
      <c r="S274" s="69" t="s">
        <v>330</v>
      </c>
      <c r="T274" s="64" t="s">
        <v>768</v>
      </c>
      <c r="U274" s="64" t="s">
        <v>793</v>
      </c>
      <c r="V274" s="64"/>
      <c r="W274" s="64"/>
      <c r="X274" s="64"/>
      <c r="Y274" s="64"/>
      <c r="Z274" s="64"/>
      <c r="AA274" s="64"/>
      <c r="AB274" s="64"/>
      <c r="AC274" s="64"/>
      <c r="AD274" s="71"/>
      <c r="AE274" s="72"/>
      <c r="AF274" s="72"/>
      <c r="AG274" s="72"/>
      <c r="AH274" s="72"/>
      <c r="AI274" s="72"/>
      <c r="AJ274" s="72"/>
      <c r="AK274" s="72"/>
    </row>
    <row r="275" spans="4:37"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71"/>
      <c r="AE275" s="72"/>
      <c r="AF275" s="72"/>
      <c r="AG275" s="72"/>
      <c r="AH275" s="72"/>
      <c r="AI275" s="72"/>
      <c r="AJ275" s="72"/>
      <c r="AK275" s="72"/>
    </row>
    <row r="276" spans="4:37"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71"/>
      <c r="AE276" s="72"/>
      <c r="AF276" s="72"/>
      <c r="AG276" s="72"/>
      <c r="AH276" s="72"/>
      <c r="AI276" s="72"/>
      <c r="AJ276" s="72"/>
      <c r="AK276" s="72"/>
    </row>
    <row r="277" spans="4:37">
      <c r="D277" s="64"/>
      <c r="E277" s="64"/>
      <c r="F277" s="64"/>
      <c r="G277" s="65"/>
      <c r="H277" s="66" t="s">
        <v>762</v>
      </c>
      <c r="I277" s="64" t="s">
        <v>117</v>
      </c>
      <c r="J277" s="64" t="s">
        <v>303</v>
      </c>
      <c r="K277" s="67" t="s">
        <v>315</v>
      </c>
      <c r="L277" s="69" t="s">
        <v>332</v>
      </c>
      <c r="M277" s="69" t="s">
        <v>352</v>
      </c>
      <c r="N277" s="69" t="s">
        <v>351</v>
      </c>
      <c r="O277" s="68" t="s">
        <v>813</v>
      </c>
      <c r="P277" s="69" t="s">
        <v>765</v>
      </c>
      <c r="Q277" s="70" t="s">
        <v>766</v>
      </c>
      <c r="R277" s="69" t="s">
        <v>816</v>
      </c>
      <c r="S277" s="69" t="s">
        <v>799</v>
      </c>
      <c r="T277" s="70" t="s">
        <v>790</v>
      </c>
      <c r="U277" s="64" t="s">
        <v>778</v>
      </c>
      <c r="V277" s="68" t="s">
        <v>779</v>
      </c>
      <c r="W277" s="69" t="s">
        <v>90</v>
      </c>
      <c r="X277" s="69" t="s">
        <v>330</v>
      </c>
      <c r="Y277" s="70" t="s">
        <v>768</v>
      </c>
      <c r="Z277" s="64" t="s">
        <v>793</v>
      </c>
      <c r="AA277" s="64"/>
      <c r="AB277" s="64"/>
      <c r="AC277" s="64"/>
      <c r="AD277" s="71"/>
      <c r="AE277" s="72"/>
      <c r="AF277" s="72"/>
      <c r="AG277" s="72"/>
      <c r="AH277" s="72"/>
      <c r="AI277" s="72"/>
      <c r="AJ277" s="72"/>
      <c r="AK277" s="72"/>
    </row>
    <row r="278" spans="4:37">
      <c r="D278" s="64"/>
      <c r="E278" s="64"/>
      <c r="F278" s="64"/>
      <c r="G278" s="65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71"/>
      <c r="AE278" s="72"/>
      <c r="AF278" s="72"/>
      <c r="AG278" s="72"/>
      <c r="AH278" s="72"/>
      <c r="AI278" s="72"/>
      <c r="AJ278" s="72"/>
      <c r="AK278" s="72"/>
    </row>
    <row r="279" spans="4:37">
      <c r="D279" s="64"/>
      <c r="E279" s="64"/>
      <c r="F279" s="64"/>
      <c r="G279" s="65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71"/>
      <c r="AE279" s="72"/>
      <c r="AF279" s="72"/>
      <c r="AG279" s="72"/>
      <c r="AH279" s="72"/>
      <c r="AI279" s="72"/>
      <c r="AJ279" s="72"/>
      <c r="AK279" s="72"/>
    </row>
    <row r="280" spans="4:37">
      <c r="D280" s="64"/>
      <c r="E280" s="64"/>
      <c r="F280" s="64"/>
      <c r="G280" s="65"/>
      <c r="H280" s="66" t="s">
        <v>762</v>
      </c>
      <c r="I280" s="64" t="s">
        <v>143</v>
      </c>
      <c r="J280" s="64" t="s">
        <v>309</v>
      </c>
      <c r="K280" s="69" t="s">
        <v>315</v>
      </c>
      <c r="L280" s="69" t="s">
        <v>345</v>
      </c>
      <c r="M280" s="69" t="s">
        <v>805</v>
      </c>
      <c r="N280" s="69" t="s">
        <v>806</v>
      </c>
      <c r="O280" s="70" t="s">
        <v>807</v>
      </c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71"/>
      <c r="AE280" s="72"/>
      <c r="AF280" s="72"/>
      <c r="AG280" s="72"/>
      <c r="AH280" s="72"/>
      <c r="AI280" s="72"/>
      <c r="AJ280" s="72"/>
      <c r="AK280" s="72"/>
    </row>
    <row r="281" spans="4:37">
      <c r="D281" s="64"/>
      <c r="E281" s="64"/>
      <c r="F281" s="64"/>
      <c r="G281" s="65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71"/>
      <c r="AE281" s="72"/>
      <c r="AF281" s="72"/>
      <c r="AG281" s="72"/>
      <c r="AH281" s="72"/>
      <c r="AI281" s="72"/>
      <c r="AJ281" s="72"/>
      <c r="AK281" s="72"/>
    </row>
    <row r="282" spans="4:37">
      <c r="D282" s="64"/>
      <c r="E282" s="64"/>
      <c r="F282" s="64"/>
      <c r="G282" s="65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71"/>
      <c r="AE282" s="72"/>
      <c r="AF282" s="72"/>
      <c r="AG282" s="72"/>
      <c r="AH282" s="72"/>
      <c r="AI282" s="72"/>
      <c r="AJ282" s="72"/>
      <c r="AK282" s="72"/>
    </row>
    <row r="283" spans="4:37">
      <c r="D283" s="64"/>
      <c r="E283" s="64"/>
      <c r="F283" s="64"/>
      <c r="G283" s="65"/>
      <c r="H283" s="66" t="s">
        <v>762</v>
      </c>
      <c r="I283" s="64" t="s">
        <v>143</v>
      </c>
      <c r="J283" s="64" t="s">
        <v>310</v>
      </c>
      <c r="K283" s="69" t="s">
        <v>315</v>
      </c>
      <c r="L283" s="69" t="s">
        <v>317</v>
      </c>
      <c r="M283" s="69" t="s">
        <v>332</v>
      </c>
      <c r="N283" s="69" t="s">
        <v>343</v>
      </c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71"/>
      <c r="AE283" s="72"/>
      <c r="AF283" s="72"/>
      <c r="AG283" s="72"/>
      <c r="AH283" s="72"/>
      <c r="AI283" s="72"/>
      <c r="AJ283" s="72"/>
      <c r="AK283" s="72"/>
    </row>
    <row r="284" spans="4:37">
      <c r="D284" s="64"/>
      <c r="E284" s="64"/>
      <c r="F284" s="64"/>
      <c r="G284" s="65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71"/>
      <c r="AE284" s="72"/>
      <c r="AF284" s="72"/>
      <c r="AG284" s="72"/>
      <c r="AH284" s="72"/>
      <c r="AI284" s="72"/>
      <c r="AJ284" s="72"/>
      <c r="AK284" s="72"/>
    </row>
    <row r="285" spans="4:37">
      <c r="D285" s="64"/>
      <c r="E285" s="64"/>
      <c r="F285" s="64"/>
      <c r="G285" s="65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71"/>
      <c r="AE285" s="72"/>
      <c r="AF285" s="72"/>
      <c r="AG285" s="72"/>
      <c r="AH285" s="72"/>
      <c r="AI285" s="72"/>
      <c r="AJ285" s="72"/>
      <c r="AK285" s="72"/>
    </row>
    <row r="286" spans="4:37">
      <c r="D286" s="64"/>
      <c r="E286" s="64"/>
      <c r="F286" s="64"/>
      <c r="G286" s="65"/>
      <c r="H286" s="66" t="s">
        <v>762</v>
      </c>
      <c r="I286" s="64" t="s">
        <v>143</v>
      </c>
      <c r="J286" s="64" t="s">
        <v>298</v>
      </c>
      <c r="K286" s="69" t="s">
        <v>315</v>
      </c>
      <c r="L286" s="69" t="s">
        <v>317</v>
      </c>
      <c r="M286" s="69" t="s">
        <v>345</v>
      </c>
      <c r="N286" s="69" t="s">
        <v>805</v>
      </c>
      <c r="O286" s="69" t="s">
        <v>806</v>
      </c>
      <c r="P286" s="70" t="s">
        <v>807</v>
      </c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71"/>
      <c r="AE286" s="72"/>
      <c r="AF286" s="72"/>
      <c r="AG286" s="72"/>
      <c r="AH286" s="72"/>
      <c r="AI286" s="72"/>
      <c r="AJ286" s="72"/>
      <c r="AK286" s="72"/>
    </row>
    <row r="287" spans="4:37">
      <c r="D287" s="64"/>
      <c r="E287" s="64"/>
      <c r="F287" s="64"/>
      <c r="G287" s="65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71"/>
      <c r="AE287" s="72"/>
      <c r="AF287" s="72"/>
      <c r="AG287" s="72"/>
      <c r="AH287" s="72"/>
      <c r="AI287" s="72"/>
      <c r="AJ287" s="72"/>
      <c r="AK287" s="72"/>
    </row>
    <row r="288" spans="4:37">
      <c r="D288" s="64"/>
      <c r="E288" s="64"/>
      <c r="F288" s="64"/>
      <c r="G288" s="65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71"/>
      <c r="AE288" s="72"/>
      <c r="AF288" s="72"/>
      <c r="AG288" s="72"/>
      <c r="AH288" s="72"/>
      <c r="AI288" s="72"/>
      <c r="AJ288" s="72"/>
      <c r="AK288" s="72"/>
    </row>
    <row r="289" spans="4:37">
      <c r="D289" s="64"/>
      <c r="E289" s="64"/>
      <c r="F289" s="64"/>
      <c r="G289" s="65"/>
      <c r="H289" s="66" t="s">
        <v>762</v>
      </c>
      <c r="I289" s="64" t="s">
        <v>143</v>
      </c>
      <c r="J289" s="64" t="s">
        <v>311</v>
      </c>
      <c r="K289" s="69" t="s">
        <v>315</v>
      </c>
      <c r="L289" s="69" t="s">
        <v>345</v>
      </c>
      <c r="M289" s="69" t="s">
        <v>805</v>
      </c>
      <c r="N289" s="69" t="s">
        <v>806</v>
      </c>
      <c r="O289" s="70" t="s">
        <v>807</v>
      </c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71"/>
      <c r="AE289" s="72"/>
      <c r="AF289" s="72"/>
      <c r="AG289" s="72"/>
      <c r="AH289" s="72"/>
      <c r="AI289" s="72"/>
      <c r="AJ289" s="72"/>
      <c r="AK289" s="72"/>
    </row>
    <row r="290" spans="4:37">
      <c r="D290" s="64"/>
      <c r="E290" s="64"/>
      <c r="F290" s="64"/>
      <c r="G290" s="65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71"/>
      <c r="AE290" s="72"/>
      <c r="AF290" s="72"/>
      <c r="AG290" s="72"/>
      <c r="AH290" s="72"/>
      <c r="AI290" s="72"/>
      <c r="AJ290" s="72"/>
      <c r="AK290" s="72"/>
    </row>
    <row r="291" spans="4:37">
      <c r="D291" s="64"/>
      <c r="E291" s="64"/>
      <c r="F291" s="64"/>
      <c r="G291" s="65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71"/>
      <c r="AE291" s="72"/>
      <c r="AF291" s="72"/>
      <c r="AG291" s="72"/>
      <c r="AH291" s="72"/>
      <c r="AI291" s="72"/>
      <c r="AJ291" s="72"/>
      <c r="AK291" s="72"/>
    </row>
    <row r="292" spans="4:37">
      <c r="D292" s="64"/>
      <c r="E292" s="64"/>
      <c r="F292" s="64"/>
      <c r="G292" s="65"/>
      <c r="H292" s="66" t="s">
        <v>762</v>
      </c>
      <c r="I292" s="64" t="s">
        <v>143</v>
      </c>
      <c r="J292" s="64" t="s">
        <v>312</v>
      </c>
      <c r="K292" s="69" t="s">
        <v>315</v>
      </c>
      <c r="L292" s="69" t="s">
        <v>345</v>
      </c>
      <c r="M292" s="69" t="s">
        <v>805</v>
      </c>
      <c r="N292" s="69" t="s">
        <v>806</v>
      </c>
      <c r="O292" s="70" t="s">
        <v>807</v>
      </c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71"/>
      <c r="AE292" s="72"/>
      <c r="AF292" s="72"/>
      <c r="AG292" s="72"/>
      <c r="AH292" s="72"/>
      <c r="AI292" s="72"/>
      <c r="AJ292" s="72"/>
      <c r="AK292" s="72"/>
    </row>
    <row r="293" spans="4:37">
      <c r="D293" s="64"/>
      <c r="E293" s="64"/>
      <c r="F293" s="64"/>
      <c r="G293" s="65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71"/>
      <c r="AE293" s="72"/>
      <c r="AF293" s="72"/>
      <c r="AG293" s="72"/>
      <c r="AH293" s="72"/>
      <c r="AI293" s="72"/>
      <c r="AJ293" s="72"/>
      <c r="AK293" s="72"/>
    </row>
    <row r="294" spans="4:37">
      <c r="D294" s="64"/>
      <c r="E294" s="64"/>
      <c r="F294" s="64"/>
      <c r="G294" s="65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71"/>
      <c r="AE294" s="72"/>
      <c r="AF294" s="72"/>
      <c r="AG294" s="72"/>
      <c r="AH294" s="72"/>
      <c r="AI294" s="72"/>
      <c r="AJ294" s="72"/>
      <c r="AK294" s="72"/>
    </row>
    <row r="295" spans="4:37">
      <c r="D295" s="64"/>
      <c r="E295" s="64"/>
      <c r="F295" s="64"/>
      <c r="G295" s="65"/>
      <c r="H295" s="66" t="s">
        <v>762</v>
      </c>
      <c r="I295" s="64" t="s">
        <v>143</v>
      </c>
      <c r="J295" s="64" t="s">
        <v>313</v>
      </c>
      <c r="K295" s="69" t="s">
        <v>315</v>
      </c>
      <c r="L295" s="69" t="s">
        <v>345</v>
      </c>
      <c r="M295" s="69" t="s">
        <v>805</v>
      </c>
      <c r="N295" s="69" t="s">
        <v>806</v>
      </c>
      <c r="O295" s="70" t="s">
        <v>807</v>
      </c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71"/>
      <c r="AE295" s="72"/>
      <c r="AF295" s="72"/>
      <c r="AG295" s="72"/>
      <c r="AH295" s="72"/>
      <c r="AI295" s="72"/>
      <c r="AJ295" s="72"/>
      <c r="AK295" s="72"/>
    </row>
    <row r="296" spans="4:37">
      <c r="D296" s="64"/>
      <c r="E296" s="64"/>
      <c r="F296" s="64"/>
      <c r="G296" s="65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71"/>
      <c r="AE296" s="72"/>
      <c r="AF296" s="72"/>
      <c r="AG296" s="72"/>
      <c r="AH296" s="72"/>
      <c r="AI296" s="72"/>
      <c r="AJ296" s="72"/>
      <c r="AK296" s="72"/>
    </row>
    <row r="297" spans="4:37">
      <c r="D297" s="64"/>
      <c r="E297" s="64"/>
      <c r="F297" s="64"/>
      <c r="G297" s="65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71"/>
      <c r="AE297" s="72"/>
      <c r="AF297" s="72"/>
      <c r="AG297" s="72"/>
      <c r="AH297" s="72"/>
      <c r="AI297" s="72"/>
      <c r="AJ297" s="72"/>
      <c r="AK297" s="72"/>
    </row>
    <row r="298" spans="4:37">
      <c r="D298" s="64"/>
      <c r="E298" s="64"/>
      <c r="F298" s="64"/>
      <c r="G298" s="65"/>
      <c r="H298" s="66" t="s">
        <v>762</v>
      </c>
      <c r="I298" s="64" t="s">
        <v>143</v>
      </c>
      <c r="J298" s="64" t="s">
        <v>314</v>
      </c>
      <c r="K298" s="69" t="s">
        <v>315</v>
      </c>
      <c r="L298" s="69" t="s">
        <v>343</v>
      </c>
      <c r="M298" s="69" t="s">
        <v>345</v>
      </c>
      <c r="N298" s="69" t="s">
        <v>805</v>
      </c>
      <c r="O298" s="69" t="s">
        <v>806</v>
      </c>
      <c r="P298" s="70" t="s">
        <v>807</v>
      </c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71"/>
      <c r="AE298" s="72"/>
      <c r="AF298" s="72"/>
      <c r="AG298" s="72"/>
      <c r="AH298" s="72"/>
      <c r="AI298" s="72"/>
      <c r="AJ298" s="72"/>
      <c r="AK298" s="72"/>
    </row>
    <row r="299" spans="4:37">
      <c r="D299" s="64"/>
      <c r="E299" s="64"/>
      <c r="F299" s="64"/>
      <c r="G299" s="65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71"/>
      <c r="AE299" s="72"/>
      <c r="AF299" s="72"/>
      <c r="AG299" s="72"/>
      <c r="AH299" s="72"/>
      <c r="AI299" s="72"/>
      <c r="AJ299" s="72"/>
      <c r="AK299" s="72"/>
    </row>
    <row r="300" spans="4:37">
      <c r="D300" s="64"/>
      <c r="E300" s="64"/>
      <c r="F300" s="64"/>
      <c r="G300" s="76"/>
      <c r="K300" s="75"/>
    </row>
  </sheetData>
  <autoFilter ref="A1:AM352" xr:uid="{00000000-0001-0000-0300-000000000000}"/>
  <mergeCells count="5">
    <mergeCell ref="J3:K3"/>
    <mergeCell ref="J4:K4"/>
    <mergeCell ref="B2:D4"/>
    <mergeCell ref="J5:K5"/>
    <mergeCell ref="J2:K2"/>
  </mergeCells>
  <phoneticPr fontId="16" type="noConversion"/>
  <pageMargins left="0.7" right="0.7" top="0.75" bottom="0.75" header="0.511811023622047" footer="0.511811023622047"/>
  <pageSetup paperSize="9" scale="12" orientation="portrait" horizontalDpi="300" verticalDpi="300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부품리스트</vt:lpstr>
      <vt:lpstr>217F 분석기준</vt:lpstr>
      <vt:lpstr>유효성 목록</vt:lpstr>
      <vt:lpstr>PSA 입력 파라미터</vt:lpstr>
      <vt:lpstr>'PSA 입력 파라미터'!Print_Area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박병호</dc:creator>
  <cp:lastModifiedBy>Root</cp:lastModifiedBy>
  <cp:revision>116</cp:revision>
  <cp:lastPrinted>2021-12-13T08:43:44Z</cp:lastPrinted>
  <dcterms:created xsi:type="dcterms:W3CDTF">2018-05-30T04:42:23Z</dcterms:created>
  <dcterms:modified xsi:type="dcterms:W3CDTF">2026-08-27T13:39:07Z</dcterms:modified>
  <dc:language>en-US</dc:language>
  <cp:version>1100.0100.01</cp:version>
</cp:coreProperties>
</file>